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eweratechnology.sharepoint.com/sites/CRMECM/account/SAMI Advanced Electronic Company (AEC)_a75dfabab2c4490bbdf5db57a477e2a2/msdyn_project/SAMI - PGD D365 CRM_059498637DD9F01185437C1E521619A1/001 - Project Management/003 - RAID &amp; Weekly Progress Reports/001 - RAID Log/"/>
    </mc:Choice>
  </mc:AlternateContent>
  <xr:revisionPtr revIDLastSave="1823" documentId="13_ncr:1_{7DAB4C29-A1C5-40D5-A558-6D90576E5A1F}" xr6:coauthVersionLast="47" xr6:coauthVersionMax="47" xr10:uidLastSave="{3542DCFD-5445-4D99-94D0-8169506770AD}"/>
  <bookViews>
    <workbookView xWindow="-108" yWindow="-108" windowWidth="23256" windowHeight="12456" activeTab="3" xr2:uid="{00000000-000D-0000-FFFF-FFFF00000000}"/>
  </bookViews>
  <sheets>
    <sheet name="Cover Page" sheetId="6" r:id="rId1"/>
    <sheet name="Assumptions-Actions" sheetId="4" r:id="rId2"/>
    <sheet name="Dependencies" sheetId="3" r:id="rId3"/>
    <sheet name="Risks" sheetId="1" r:id="rId4"/>
    <sheet name="Issues" sheetId="2" r:id="rId5"/>
    <sheet name="Reference" sheetId="5" state="hidden" r:id="rId6"/>
  </sheets>
  <externalReferences>
    <externalReference r:id="rId7"/>
    <externalReference r:id="rId8"/>
  </externalReferences>
  <definedNames>
    <definedName name="_xlnm._FilterDatabase" localSheetId="1" hidden="1">'Assumptions-Actions'!$D$1:$L$60</definedName>
    <definedName name="_xlnm._FilterDatabase" localSheetId="2" hidden="1">Dependencies!$B$1:$K$3</definedName>
    <definedName name="_xlnm._FilterDatabase" localSheetId="4" hidden="1">Issues!$A$1:$N$4</definedName>
    <definedName name="_xlnm._FilterDatabase" localSheetId="3" hidden="1">Risks!$A$1:$N$38</definedName>
    <definedName name="Impact_list">[1]List!$C$34:$C$38</definedName>
    <definedName name="issues_list">[2]List!$C$49:$C$51</definedName>
    <definedName name="Prob_list">[1]List!$B$42:$B$46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6" l="1"/>
  <c r="F22" i="6"/>
  <c r="F24" i="6"/>
  <c r="C21" i="6"/>
  <c r="C22" i="6"/>
  <c r="C23" i="6"/>
  <c r="C24" i="6"/>
  <c r="M2" i="3"/>
  <c r="M3" i="3"/>
  <c r="M4" i="3"/>
  <c r="M5" i="3"/>
  <c r="M6" i="3"/>
  <c r="M7" i="3"/>
  <c r="M8" i="3"/>
  <c r="M9" i="3"/>
  <c r="M10" i="3"/>
  <c r="M11" i="3"/>
  <c r="M12" i="3"/>
  <c r="M13" i="3"/>
  <c r="M14" i="3"/>
  <c r="M15" i="3"/>
  <c r="M16" i="3"/>
  <c r="M17" i="3"/>
  <c r="M18" i="3"/>
  <c r="M19" i="3"/>
  <c r="M20" i="3"/>
  <c r="M21" i="3"/>
  <c r="M22" i="3"/>
  <c r="M23" i="3"/>
  <c r="M24" i="3"/>
  <c r="M25" i="3"/>
  <c r="M26" i="3"/>
  <c r="L2" i="3"/>
  <c r="L3" i="3"/>
  <c r="L4" i="3"/>
  <c r="L5" i="3"/>
  <c r="L6" i="3"/>
  <c r="L7" i="3"/>
  <c r="L8" i="3"/>
  <c r="L9" i="3"/>
  <c r="L10" i="3"/>
  <c r="L11" i="3"/>
  <c r="L12" i="3"/>
  <c r="L13" i="3"/>
  <c r="L14" i="3"/>
  <c r="L15" i="3"/>
  <c r="L16" i="3"/>
  <c r="L17" i="3"/>
  <c r="L18" i="3"/>
  <c r="L19" i="3"/>
  <c r="L20" i="3"/>
  <c r="L21" i="3"/>
  <c r="L22" i="3"/>
  <c r="L23" i="3"/>
  <c r="L24" i="3"/>
  <c r="L25" i="3"/>
  <c r="L26" i="3"/>
  <c r="Q2" i="2"/>
  <c r="Q3" i="2"/>
  <c r="Q4" i="2"/>
  <c r="Q5" i="2"/>
  <c r="Q6" i="2"/>
  <c r="Q7" i="2"/>
  <c r="Q8" i="2"/>
  <c r="Q9" i="2"/>
  <c r="Q10" i="2"/>
  <c r="Q11" i="2"/>
  <c r="Q12" i="2"/>
  <c r="Q13" i="2"/>
  <c r="Q14" i="2"/>
  <c r="Q15" i="2"/>
  <c r="Q16" i="2"/>
  <c r="Q17" i="2"/>
  <c r="Q18" i="2"/>
  <c r="Q19" i="2"/>
  <c r="Q20" i="2"/>
  <c r="Q21" i="2"/>
  <c r="Q22" i="2"/>
  <c r="Q23" i="2"/>
  <c r="Q24" i="2"/>
  <c r="Q25" i="2"/>
  <c r="Q26" i="2"/>
  <c r="Q27" i="2"/>
  <c r="Q28" i="2"/>
  <c r="P2" i="2"/>
  <c r="P3" i="2"/>
  <c r="P4" i="2"/>
  <c r="P5" i="2"/>
  <c r="P6" i="2"/>
  <c r="P7" i="2"/>
  <c r="P8" i="2"/>
  <c r="P9" i="2"/>
  <c r="P10" i="2"/>
  <c r="P11" i="2"/>
  <c r="P12" i="2"/>
  <c r="P13" i="2"/>
  <c r="P14" i="2"/>
  <c r="P15" i="2"/>
  <c r="P16" i="2"/>
  <c r="P17" i="2"/>
  <c r="P18" i="2"/>
  <c r="P19" i="2"/>
  <c r="P20" i="2"/>
  <c r="P21" i="2"/>
  <c r="P22" i="2"/>
  <c r="P23" i="2"/>
  <c r="P24" i="2"/>
  <c r="P25" i="2"/>
  <c r="P26" i="2"/>
  <c r="P27" i="2"/>
  <c r="P28" i="2"/>
  <c r="O2" i="2"/>
  <c r="O3" i="2"/>
  <c r="O4" i="2"/>
  <c r="O5" i="2"/>
  <c r="O6" i="2"/>
  <c r="O7" i="2"/>
  <c r="O8" i="2"/>
  <c r="O9" i="2"/>
  <c r="O10" i="2"/>
  <c r="O11" i="2"/>
  <c r="O12" i="2"/>
  <c r="O13" i="2"/>
  <c r="O14" i="2"/>
  <c r="O15" i="2"/>
  <c r="O16" i="2"/>
  <c r="O17" i="2"/>
  <c r="O18" i="2"/>
  <c r="O19" i="2"/>
  <c r="O20" i="2"/>
  <c r="O21" i="2"/>
  <c r="O22" i="2"/>
  <c r="O23" i="2"/>
  <c r="O24" i="2"/>
  <c r="O25" i="2"/>
  <c r="O26" i="2"/>
  <c r="O27" i="2"/>
  <c r="O28" i="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P38" i="1" a="1"/>
  <c r="P38" i="1"/>
  <c r="P37" i="1" a="1"/>
  <c r="P37" i="1" s="1"/>
  <c r="P36" i="1" a="1"/>
  <c r="P36" i="1" s="1"/>
  <c r="P35" i="1" a="1"/>
  <c r="P35" i="1"/>
  <c r="P34" i="1" a="1"/>
  <c r="P34" i="1"/>
  <c r="P33" i="1" a="1"/>
  <c r="P33" i="1" s="1"/>
  <c r="P32" i="1" a="1"/>
  <c r="P32" i="1" s="1"/>
  <c r="P31" i="1" a="1"/>
  <c r="P31" i="1"/>
  <c r="P30" i="1" a="1"/>
  <c r="P30" i="1"/>
  <c r="P29" i="1" a="1"/>
  <c r="P29" i="1" s="1"/>
  <c r="P28" i="1" a="1"/>
  <c r="P28" i="1" s="1"/>
  <c r="P27" i="1" a="1"/>
  <c r="P27" i="1"/>
  <c r="P26" i="1" a="1"/>
  <c r="P26" i="1"/>
  <c r="P25" i="1" a="1"/>
  <c r="P25" i="1" s="1"/>
  <c r="P24" i="1" a="1"/>
  <c r="P24" i="1" s="1"/>
  <c r="P23" i="1" a="1"/>
  <c r="P23" i="1"/>
  <c r="P22" i="1" a="1"/>
  <c r="P22" i="1"/>
  <c r="P21" i="1" a="1"/>
  <c r="P21" i="1" s="1"/>
  <c r="P20" i="1" a="1"/>
  <c r="P20" i="1" s="1"/>
  <c r="P19" i="1" a="1"/>
  <c r="P19" i="1"/>
  <c r="P18" i="1" a="1"/>
  <c r="P18" i="1"/>
  <c r="P17" i="1" a="1"/>
  <c r="P17" i="1" s="1"/>
  <c r="P16" i="1" a="1"/>
  <c r="P16" i="1" s="1"/>
  <c r="P15" i="1" a="1"/>
  <c r="P15" i="1"/>
  <c r="P14" i="1" a="1"/>
  <c r="P14" i="1"/>
  <c r="P13" i="1" a="1"/>
  <c r="P13" i="1" s="1"/>
  <c r="P12" i="1" a="1"/>
  <c r="P12" i="1" s="1"/>
  <c r="P11" i="1" a="1"/>
  <c r="P11" i="1"/>
  <c r="P10" i="1" a="1"/>
  <c r="P10" i="1"/>
  <c r="P9" i="1" a="1"/>
  <c r="P9" i="1" s="1"/>
  <c r="P8" i="1" a="1"/>
  <c r="P8" i="1" s="1"/>
  <c r="P7" i="1" a="1"/>
  <c r="P7" i="1"/>
  <c r="P6" i="1" a="1"/>
  <c r="P6" i="1"/>
  <c r="P5" i="1" a="1"/>
  <c r="P5" i="1" s="1"/>
  <c r="P4" i="1" a="1"/>
  <c r="P4" i="1" s="1"/>
  <c r="P3" i="1" a="1"/>
  <c r="P3" i="1"/>
  <c r="P2" i="1" a="1"/>
  <c r="P2" i="1"/>
  <c r="Q2" i="1" s="1"/>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L12" i="6"/>
  <c r="L13" i="6"/>
  <c r="L14" i="6"/>
  <c r="L15" i="6"/>
  <c r="I12" i="6"/>
  <c r="I13" i="6"/>
  <c r="I14" i="6"/>
  <c r="I15" i="6"/>
  <c r="I16" i="6"/>
  <c r="F12" i="6"/>
  <c r="F13" i="6"/>
  <c r="F14" i="6"/>
  <c r="F15" i="6"/>
  <c r="F16" i="6"/>
  <c r="F17" i="6"/>
  <c r="C12" i="6"/>
  <c r="C13" i="6"/>
  <c r="C14" i="6"/>
  <c r="C15" i="6"/>
  <c r="C16" i="6"/>
  <c r="C17" i="6" l="1"/>
  <c r="F23" i="6"/>
  <c r="Q38" i="1"/>
  <c r="Q33" i="1"/>
  <c r="Q25" i="1"/>
  <c r="Q17" i="1"/>
  <c r="Q9" i="1"/>
  <c r="Q16" i="1"/>
  <c r="Q23" i="1"/>
  <c r="Q15" i="1"/>
  <c r="Q7" i="1"/>
  <c r="Q30" i="1"/>
  <c r="Q6" i="1"/>
  <c r="Q37" i="1"/>
  <c r="Q29" i="1"/>
  <c r="Q21" i="1"/>
  <c r="Q13" i="1"/>
  <c r="Q5" i="1"/>
  <c r="Q32" i="1"/>
  <c r="Q22" i="1"/>
  <c r="Q36" i="1"/>
  <c r="Q28" i="1"/>
  <c r="Q20" i="1"/>
  <c r="Q12" i="1"/>
  <c r="Q4" i="1"/>
  <c r="Q24" i="1"/>
  <c r="Q8" i="1"/>
  <c r="Q31" i="1"/>
  <c r="Q14" i="1"/>
  <c r="Q35" i="1"/>
  <c r="Q27" i="1"/>
  <c r="Q19" i="1"/>
  <c r="Q11" i="1"/>
  <c r="Q3" i="1"/>
  <c r="Q34" i="1"/>
  <c r="Q26" i="1"/>
  <c r="Q18" i="1"/>
  <c r="Q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tc={0F6B14EC-3F52-40B4-AE33-297E12FF5D9F}</author>
  </authors>
  <commentList>
    <comment ref="L30" authorId="0" shapeId="0" xr:uid="{0F6B14EC-3F52-40B4-AE33-297E12FF5D9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@Abdallah Aliwat  kindly share the history related the mob app</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Muhammad Arman</author>
  </authors>
  <commentList>
    <comment ref="K1" authorId="0" shapeId="0" xr:uid="{00000000-0006-0000-0100-000009000000}">
      <text>
        <r>
          <rPr>
            <b/>
            <sz val="9"/>
            <color indexed="81"/>
            <rFont val="Tahoma"/>
            <family val="2"/>
          </rPr>
          <t>Abdallah Khalil:</t>
        </r>
        <r>
          <rPr>
            <sz val="9"/>
            <color indexed="81"/>
            <rFont val="Tahoma"/>
            <family val="2"/>
          </rPr>
          <t xml:space="preserve">
[provide a note regarding the progress in achieving the dependency, change in plans, status explanation, risks of potential delay, etc.]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<sst xmlns="http://schemas.openxmlformats.org/spreadsheetml/2006/main" count="794" uniqueCount="420">
  <si>
    <t>(RAID) log, RAID is a small tool that allows you to keep track of Risks, Assumptions/actions, issues, and Dependencies in your projects.</t>
  </si>
  <si>
    <t>Project Name:</t>
  </si>
  <si>
    <t>Project Number:</t>
  </si>
  <si>
    <t>RAID version:</t>
  </si>
  <si>
    <t>Last updated date:</t>
  </si>
  <si>
    <t>Schedule (Latest Baseline)</t>
  </si>
  <si>
    <t>Updated by:</t>
  </si>
  <si>
    <t>#</t>
  </si>
  <si>
    <t>Risk Title</t>
  </si>
  <si>
    <t>Assigned To</t>
  </si>
  <si>
    <t>Raised Date</t>
  </si>
  <si>
    <t>Impact Description</t>
  </si>
  <si>
    <t>Status</t>
  </si>
  <si>
    <t>Priority</t>
  </si>
  <si>
    <t>Impact</t>
  </si>
  <si>
    <t>Probability</t>
  </si>
  <si>
    <t>Mitigation Plan</t>
  </si>
  <si>
    <t>History Comments</t>
  </si>
  <si>
    <t>Closure Due Date</t>
  </si>
  <si>
    <t>Revised Closure Due Date</t>
  </si>
  <si>
    <t>R-001</t>
  </si>
  <si>
    <t>Active</t>
  </si>
  <si>
    <t>Critical</t>
  </si>
  <si>
    <t>R-002</t>
  </si>
  <si>
    <t>High</t>
  </si>
  <si>
    <t>R-004</t>
  </si>
  <si>
    <t>R-005</t>
  </si>
  <si>
    <t>Medium</t>
  </si>
  <si>
    <t>R-006</t>
  </si>
  <si>
    <t>R-007</t>
  </si>
  <si>
    <t>R-008</t>
  </si>
  <si>
    <t>R-010</t>
  </si>
  <si>
    <t>R-011</t>
  </si>
  <si>
    <t xml:space="preserve"> # </t>
  </si>
  <si>
    <t>Assupmtion / Action Description</t>
  </si>
  <si>
    <t>Type</t>
  </si>
  <si>
    <t xml:space="preserve">Raised By </t>
  </si>
  <si>
    <t>Owner</t>
  </si>
  <si>
    <t xml:space="preserve"> Dependency</t>
  </si>
  <si>
    <t>Due Date</t>
  </si>
  <si>
    <t>Revised Due Date</t>
  </si>
  <si>
    <t>Closed Date</t>
  </si>
  <si>
    <t>History Comments / Progress</t>
  </si>
  <si>
    <t>A-001</t>
  </si>
  <si>
    <t>A-002</t>
  </si>
  <si>
    <t>A-003</t>
  </si>
  <si>
    <t>A-006</t>
  </si>
  <si>
    <t>A-025</t>
  </si>
  <si>
    <t>A-026</t>
  </si>
  <si>
    <t>A-027</t>
  </si>
  <si>
    <t>A-028</t>
  </si>
  <si>
    <t>A-029</t>
  </si>
  <si>
    <t>A-030</t>
  </si>
  <si>
    <t>A-031</t>
  </si>
  <si>
    <t>A-032</t>
  </si>
  <si>
    <t>A-033</t>
  </si>
  <si>
    <t>A-034</t>
  </si>
  <si>
    <t>A-035</t>
  </si>
  <si>
    <t>A-036</t>
  </si>
  <si>
    <t>A-117</t>
  </si>
  <si>
    <t>A-118</t>
  </si>
  <si>
    <t>A-119</t>
  </si>
  <si>
    <t>A-121</t>
  </si>
  <si>
    <t>A-122</t>
  </si>
  <si>
    <t>A-123</t>
  </si>
  <si>
    <t>A-124</t>
  </si>
  <si>
    <t>A-125</t>
  </si>
  <si>
    <t>No.</t>
  </si>
  <si>
    <t>Issue Title</t>
  </si>
  <si>
    <t>Impact Phase/Milestone</t>
  </si>
  <si>
    <t>Date Raised</t>
  </si>
  <si>
    <t>Baseline Due Date</t>
  </si>
  <si>
    <t>Closure Date</t>
  </si>
  <si>
    <t>I-001</t>
  </si>
  <si>
    <t>I-002</t>
  </si>
  <si>
    <t>I-003</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</si>
  <si>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</si>
  <si>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</si>
  <si>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</si>
  <si>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</si>
  <si>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</si>
  <si>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</si>
  <si>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</si>
  <si>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</si>
  <si>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</si>
  <si>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</si>
  <si>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</si>
  <si>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</si>
  <si>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</si>
  <si>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</si>
  <si>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</si>
  <si>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</si>
  <si>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</si>
  <si>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</si>
  <si>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</si>
  <si>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</si>
  <si>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</si>
  <si>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</si>
  <si>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</si>
  <si>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</si>
  <si>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Dependent Milestone/Task</t>
  </si>
  <si>
    <t>Dependency</t>
  </si>
  <si>
    <t>Dependency Owner Name</t>
  </si>
  <si>
    <t>Original Committed Date</t>
  </si>
  <si>
    <t>Impact Sum (days)
+ = Negative| - =Positive</t>
  </si>
  <si>
    <t>Risk Status</t>
  </si>
  <si>
    <t>Risk Type</t>
  </si>
  <si>
    <t>Risk Priority</t>
  </si>
  <si>
    <t>Risk Impact</t>
  </si>
  <si>
    <t>Risk Probability</t>
  </si>
  <si>
    <t>Issue Status</t>
  </si>
  <si>
    <t>Issue Impact</t>
  </si>
  <si>
    <t>Dependency Status</t>
  </si>
  <si>
    <t>Actions Status</t>
  </si>
  <si>
    <t>Internal</t>
  </si>
  <si>
    <t>Low</t>
  </si>
  <si>
    <t>Less Likely</t>
  </si>
  <si>
    <t>Inactive</t>
  </si>
  <si>
    <t>External</t>
  </si>
  <si>
    <t>Probable</t>
  </si>
  <si>
    <t>Closed</t>
  </si>
  <si>
    <t>Planned</t>
  </si>
  <si>
    <t>Escalated to Issue</t>
  </si>
  <si>
    <t>Highly Probable</t>
  </si>
  <si>
    <t>Delayed</t>
  </si>
  <si>
    <t>In Progress</t>
  </si>
  <si>
    <t>Completed</t>
  </si>
  <si>
    <t>Ongoing</t>
  </si>
  <si>
    <t>R-003</t>
  </si>
  <si>
    <t>R-012</t>
  </si>
  <si>
    <t>R-013</t>
  </si>
  <si>
    <t>R-014</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</si>
  <si>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</si>
  <si>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</si>
  <si>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</si>
  <si>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</si>
  <si>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</si>
  <si>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</si>
  <si>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</si>
  <si>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</si>
  <si>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</si>
  <si>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</si>
  <si>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</si>
  <si>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</si>
  <si>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</si>
  <si>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</si>
  <si>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</si>
  <si>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</si>
  <si>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</si>
  <si>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</si>
  <si>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</si>
  <si>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</si>
  <si>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</si>
  <si>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</si>
  <si>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Responsibility</t>
  </si>
  <si>
    <t>R-039</t>
  </si>
  <si>
    <t>A-126</t>
  </si>
  <si>
    <t>A-127</t>
  </si>
  <si>
    <t>A-128</t>
  </si>
  <si>
    <t>A-129</t>
  </si>
  <si>
    <t>A-130</t>
  </si>
  <si>
    <t>A-131</t>
  </si>
  <si>
    <t>A-132</t>
  </si>
  <si>
    <t>A-133</t>
  </si>
  <si>
    <t>A-134</t>
  </si>
  <si>
    <t>A-135</t>
  </si>
  <si>
    <t>A-136</t>
  </si>
  <si>
    <t>A-137</t>
  </si>
  <si>
    <t>A-138</t>
  </si>
  <si>
    <t>A-139</t>
  </si>
  <si>
    <t>A-140</t>
  </si>
  <si>
    <t>Mitigation Owner</t>
  </si>
  <si>
    <t>Actual Closure Date</t>
  </si>
  <si>
    <t>Project Timeline impact (+,- Days)</t>
  </si>
  <si>
    <t>Support Needed</t>
  </si>
  <si>
    <t>Actual closing  Date</t>
  </si>
  <si>
    <t>A-014</t>
  </si>
  <si>
    <t>A-007</t>
  </si>
  <si>
    <t>A-008</t>
  </si>
  <si>
    <t>A-009</t>
  </si>
  <si>
    <t>A-010</t>
  </si>
  <si>
    <t>A-011</t>
  </si>
  <si>
    <t>A-012</t>
  </si>
  <si>
    <t>A-013</t>
  </si>
  <si>
    <t>A-015</t>
  </si>
  <si>
    <t>A-016</t>
  </si>
  <si>
    <t>A-017</t>
  </si>
  <si>
    <t>A-018</t>
  </si>
  <si>
    <t>A-019</t>
  </si>
  <si>
    <t>A-020</t>
  </si>
  <si>
    <t>A-021</t>
  </si>
  <si>
    <t>A-022</t>
  </si>
  <si>
    <t>A-023</t>
  </si>
  <si>
    <t>A-024</t>
  </si>
  <si>
    <t xml:space="preserve">إستلام وثائق مخطط سير العمل للخدمات المطلوبة </t>
  </si>
  <si>
    <t xml:space="preserve">الاجتماع مع المديرية العامة للسجون وعرض متطلبات البنية التحتية ومناقشة كيفية الربط مع الجهات الخارجية والداخلية. </t>
  </si>
  <si>
    <t>بدء مراجعة الوثائق التي تم إستلامها والبدء بإعداد وثيقة (RTM)</t>
  </si>
  <si>
    <t>إستلام النسخة الأولية من وثيقة تحليل أصحاب المصلحة</t>
  </si>
  <si>
    <t>إعداد خطة المشروع الأولية وبدء التحضير لمرحلة تحليل متطلبات الأعمال</t>
  </si>
  <si>
    <t xml:space="preserve">توفير جميع الخدمات مع تحديد نقاط التكامل لكل خدمة </t>
  </si>
  <si>
    <t>تحديد نطاق المرحلة الأولى (َMVP Scope) وتحديث خطة المشروع التفصيلية (البدء والتصور)</t>
  </si>
  <si>
    <t>تجهيز بيئات العمل التطويرية والتشغيلية وتفعيل رخص المنصة</t>
  </si>
  <si>
    <t>الدعم الفني والتشغيل</t>
  </si>
  <si>
    <t>نقل المعرفة وتسليم وثائق المشروع</t>
  </si>
  <si>
    <t>Netways</t>
  </si>
  <si>
    <t>Action</t>
  </si>
  <si>
    <t>Milestone</t>
  </si>
  <si>
    <t>Muath Albkr</t>
  </si>
  <si>
    <t>Mohammed Aleidi</t>
  </si>
  <si>
    <t>None</t>
  </si>
  <si>
    <t xml:space="preserve">توفير صلاحيات الوصول الىS-Cloud  </t>
  </si>
  <si>
    <t>Tawah Alsindi</t>
  </si>
  <si>
    <t>مشاركة وثيقة (RTM) مع فريق سامي</t>
  </si>
  <si>
    <t>Netways/SAMI</t>
  </si>
  <si>
    <t xml:space="preserve">مشاركة وثيقة معمارية الحلول </t>
  </si>
  <si>
    <t xml:space="preserve">18 ديسمبر: تمت مشاركة وثيقة هيلكلية الحلول مع فريق سامي
22 ديسمبر: تم تحديث الوثيقة ومشاركتها 
7 يناير: تمت مشاركة الوثيقة بعد التحديث الأخير </t>
  </si>
  <si>
    <t>A-004</t>
  </si>
  <si>
    <t>A-005</t>
  </si>
  <si>
    <t>عقد جلسات تحليل متطلبات الاعمال الغير الوظيفية للمرحلة الأولى (MVP) مع فريق المديرية</t>
  </si>
  <si>
    <t>الأنتهاء من تحضير بيئات العمل التطويرية، الأختبارية والتشغيلية</t>
  </si>
  <si>
    <t xml:space="preserve"> خدمات نطاق المشروع </t>
  </si>
  <si>
    <t>مشاركة وثيقة الوضع الحالي لجودة الخدمات و وثيقة الوضع الحالي لجودة الخدمات من قبل فريق سامي</t>
  </si>
  <si>
    <t>مشاركة آلية الربط مع البصمة (آلية دخول النزيل)</t>
  </si>
  <si>
    <t>تأكيد متطلبات خدمة البيت العائلي</t>
  </si>
  <si>
    <t>توضيح آلية عمل خدمة طلب تسليم الأمانات</t>
  </si>
  <si>
    <t>التنسيق لاجتماع مع إدارة المساعد للعمليات (الشكاوى)</t>
  </si>
  <si>
    <t xml:space="preserve">مشاركة تصنيف القضايا والقضايا المستثناة </t>
  </si>
  <si>
    <t>مراجعة واعتماد وثيقة ميثاق المشروع</t>
  </si>
  <si>
    <t xml:space="preserve">20 يناير: تم تصعيد الموضوع على ضرورة توفير الصلاحيات والاجتماع  مع الفريق التقني في المديرية </t>
  </si>
  <si>
    <t>تحديد خدمات MVP بعد جلسات نقل المعرفة</t>
  </si>
  <si>
    <t xml:space="preserve">11 يناير: تم البدء بجلسات نقل المعرفه 
15 يناير: تم الأنتهاء من جلسات نقل المعرفه لحميع الخدمات وتحديد الخدمات المندرجة تحت نطاق المشروع والخدمات التي تم استبعادها وتم الـتأكيد من المديرية بالخدمات المستعبده من نطاق المشروع </t>
  </si>
  <si>
    <t>عقد اجتماعات تقنية مع فريق البنية التحتية في المديرية للتجهيز لبيئات العمل التطويرية والتشغيلية</t>
  </si>
  <si>
    <t xml:space="preserve">اجتماع بدء المشروع Kick-off </t>
  </si>
  <si>
    <t xml:space="preserve">7 يناير: تم التصعيد بأن التأخير في جلسات نقل المعرفه يؤثر على البدء في تحديد وتحليل خدمات الـ MVP وإغلاق مرحلة التحليل </t>
  </si>
  <si>
    <t xml:space="preserve">15 يناير: تمت مشاركة جميع الخدمات مع تحديد نقاط التكامل لكل خدمة </t>
  </si>
  <si>
    <t>وجود خدمات جديدة غير معتمدة وغير مدرجة ضمن نطاق المشروع</t>
  </si>
  <si>
    <t>Muath Albkr/Tawah Alsindi</t>
  </si>
  <si>
    <t>Moataz Alfarajah</t>
  </si>
  <si>
    <t>14 يناير: تم تحديد خدمات ال MVP (طلب نقل، طلب خروج للضرورة وطلب الشكاوي والاقتراحات) 25 يناير: وتم الاتفاق على أن تكون جميع خدمات MVP  تابعة لإدارة مساعد العمليات.  (طلب نقل، طلب خروج للضرورة وطلب الشكاوي والاقتراحات)</t>
  </si>
  <si>
    <t>11 يناير: تمت مشاركة قائمة بالخدمات المستخلصة من الوثائق المتوفرة، مع توضيح الخدمات التي تفتقر إلى وثائق متطلبات الأعمال مكتمله. وبأنتظار  تحديد الخدمات التي يجب إدراجها أو استبعادها من النطاق من فريق يونيكوم 
15 يناير: تم تحديد الخدمات المندرجة تحت نطاق المشروع والخدمات التي تم استبعادها وتم الـتأكيد من المديرية بالخدمات المستعبده من نطاق المشروع 
25 يناير: تم التأكيد على الخدمات المتفق عليها، وما تم توثيقه مسبقًا كإجراءات عمل رسمية، إضافة إلى الخدمات التي سيتم أتمتتها ضمن نطاق المشروع</t>
  </si>
  <si>
    <t>مشاركة المراكز التأهيلية المعتمدة</t>
  </si>
  <si>
    <t>Muath Albkr/PGD</t>
  </si>
  <si>
    <t>02 فبراير: تم التأكيد في الأجتماع اليومي من المديرية  بتزويد الشركة بملف القضايا المستثناة من طلبات النقل والخروج، وقائمة المراكز التأهيلية المعتمدة، وآلية الربط مع البصمة (آلية دخول النزيل)، إضافة إلى مشاركة النماذج والحقول الخاصة بخدمتي طلب النقل وطلب الخروج للضرورة</t>
  </si>
  <si>
    <r>
      <rPr>
        <sz val="11"/>
        <color rgb="FF2D2D0E"/>
        <rFont val="Tajawal"/>
      </rPr>
      <t xml:space="preserve">أستكمال جمع المتطلبات الغير الوظيفية لخدمات </t>
    </r>
    <r>
      <rPr>
        <sz val="11"/>
        <color rgb="FF2D2D0E"/>
        <rFont val="Arial"/>
        <family val="2"/>
      </rPr>
      <t>MVP ومشاركة وثيقة SRS</t>
    </r>
  </si>
  <si>
    <t>الأنتهاء من جلسات نقل المعرفة لكافة الخدمات مع فريق يونيكوم</t>
  </si>
  <si>
    <t>-</t>
  </si>
  <si>
    <t>+12</t>
  </si>
  <si>
    <t xml:space="preserve">تزويد الشركة بصلاحيات الوصول اللازمة والتأكد من جاهزية جميع الخوادم المطلوبة مع عقد اجتماعات تقنية مع فريق البنية التحتية في المديرية للتجهيز لبيئات العمل التطويرية والتشغيلية </t>
  </si>
  <si>
    <r>
      <rPr>
        <sz val="11"/>
        <color rgb="FF2D2D0E"/>
        <rFont val="Tajawal"/>
      </rPr>
      <t>مشاركة "النماذج والحقول" الخاصة بطلب النقل وطلب الخروج للضرورة والشكاوي والأقتراحات، من قبل إدارة مساعد العمليات</t>
    </r>
    <r>
      <rPr>
        <sz val="11"/>
        <color rgb="FF2D2D0E"/>
        <rFont val="Arial"/>
        <family val="2"/>
      </rPr>
      <t xml:space="preserve"> من قبل المديرية</t>
    </r>
  </si>
  <si>
    <t>أستكمال جمع المتطلبات الغير وظيفية لخدمات MVP</t>
  </si>
  <si>
    <t>أعتماد وثيقة متطلبات الأعمال التفصيلية SRS</t>
  </si>
  <si>
    <t>أستكمال جمع المتطلبات الغير وظيفية لجميع الخدمات</t>
  </si>
  <si>
    <t xml:space="preserve">الأجتماع مع المعنيين في الأدارات من المديرية وتزويد الشركة بالحقول والنماذج لجميع الخدمات </t>
  </si>
  <si>
    <t xml:space="preserve">الأجتماع مع المعنيين في الأدارات من المديرية وتزويد الشركة بالحقول والنماذج لخدمات MVP </t>
  </si>
  <si>
    <t>Muath Albkr &amp; PGD</t>
  </si>
  <si>
    <t>Mohammed Aledi</t>
  </si>
  <si>
    <t>تسليم وثيقة متطلبات الأعمال التفصيلية SRS لخدمات MVP</t>
  </si>
  <si>
    <t xml:space="preserve">الأنتهاء من إعداد وثيقة تصميم الحل لخدمات MVP </t>
  </si>
  <si>
    <t xml:space="preserve">البدء في إعداد وثيقة تصميم الحل لخدمات MVP </t>
  </si>
  <si>
    <t>تسليم وثيقة متطلبات الأعمال التفصيلية SRS لجميع الخدمات (full scope)</t>
  </si>
  <si>
    <t>البدء في إعداد وثيقة تصميم الحل لجميع الخدمات (full scope)</t>
  </si>
  <si>
    <t>الأنتهاء من إعداد وثيقة تصميم الحل لجميع الخدمات (full scope)</t>
  </si>
  <si>
    <t>أعتماد تصميم نظام إجراءات نزلاء السجون (UI/UX &amp; Story Board for MVP Services)</t>
  </si>
  <si>
    <t xml:space="preserve">02 فبراير: تم الاتفاق في الأجتماع اليومي على تزويد المديرية بالنماذج والحقول اللازمة للمراجعة والاعتماد
03 فبراير: تم أعتماد حقول الشكاوي والأقتراحات </t>
  </si>
  <si>
    <t>تأخر تحديد واعتماد خدمات المرحلة الأولى MVP</t>
  </si>
  <si>
    <t>عدم توفر أصحاب المصلحة من المديرية</t>
  </si>
  <si>
    <t>عدم استكمال واعتماد المتطلبات غير الوظيفية</t>
  </si>
  <si>
    <t>عدم الالتزام بالجدول الزمني المعتمد</t>
  </si>
  <si>
    <t>بدء التصميم والتطوير بشكل متواز حيثما أمكن وبشكل عاجل لتقليل الأثر الزمني.
تصعيد أي تأخير في الاعتمادات خلال 48 ساعة إلى اللجنة التوجيهية لاتخاذ القرار</t>
  </si>
  <si>
    <t>تأخر بدء أنشطة التصميم والتطوير للمرحلة الأولى MVP</t>
  </si>
  <si>
    <t xml:space="preserve">تفعيل آلية تواصل فعالة من خلال عقد اجتماع يومي مع فريق المديرية والإدارات ذات العلاقة للإجابة على الاستفسارات واستكمال المتطلبات المتبقية بشكل فوري، بالإضافة إلى متابعة التقدم والمعوقات ضمن الاجتماع الأسبوعي لعرض حالة المشروع. </t>
  </si>
  <si>
    <t>مشاركة ملف تصنيف الخدمات والإدارات التابعة لها مع المديرية لتنسيق عقد اجتماعات مع كل إدارة، بهدف استكمال واعتماد المتطلبات غير الوظيفية خلال الفترة المحددة.</t>
  </si>
  <si>
    <t>المتابعة الدورية مع أصحاب المصلحة، والتصعيد المبكر في حال وجود أي تأخير مؤثر على الجدول الزمني المعتمد.
تنفيذ بعض أنشطة المشروع بشكل متوازي لتسريع تنفيذ الأعمال</t>
  </si>
  <si>
    <t>PGD</t>
  </si>
  <si>
    <t xml:space="preserve">تراكم التأخيرات وتأثير على الجدول الزمني لإغلاق خدمات المرحلة الأولى وخدمات الأطلاق الكامل للنظام </t>
  </si>
  <si>
    <t>تزويد الشركة بصلاحيات الوصول اللازمة والتأكد من جاهزية جميع الخوادم المطلوبة، مع تواجد مهندس من قبل الشركة للعمل بشكل مباشر مع فريق البنية التحتية للمديرية لضمان تسريع تجهيز البيئات ومعالجة أي معوقات تقنية</t>
  </si>
  <si>
    <t xml:space="preserve"> تطوير خدمات MVP</t>
  </si>
  <si>
    <t>التصميم والتطوير</t>
  </si>
  <si>
    <t xml:space="preserve">مرحلة التحليل </t>
  </si>
  <si>
    <t>مرحلة التحليل والتطوير</t>
  </si>
  <si>
    <t xml:space="preserve">نطاق المشروع </t>
  </si>
  <si>
    <t>Nazeel Platform Modernization</t>
  </si>
  <si>
    <t>SAMIEC003001</t>
  </si>
  <si>
    <t>V0.1</t>
  </si>
  <si>
    <t>ترتيب جلسات تحليل متطلبات الأعمال</t>
  </si>
  <si>
    <t xml:space="preserve">
20 يناير:تمت مناقشة تأخر المديرية في مشاركة الحقول والنماذج المتعلقة بالخدمات خلال الاجتماع الأسبوعي مع فريق سامي، حيث تم الاتفاق على اتخاذ الإجراءات اللازمة والتنسيق لعقد اجتماعات مع الإدارات المعنية بهدف استكمال الخدمات الغير وظيفية
20 يناير: تمت مناقشة تأثير التأخير في مشاركة الحقول والنماذج على الجدول الزمني المعتمد، وما يترتب عليه من تأخير محتمل في تسليم خدمات المرحلة الأولى (MVP).
25 يناير: تم عقد اجتماع مع المساعد للعمليات، حيث تمت مناقشة ضرورة مشاركة النماذج وبيانات الـ Metadata المطلوبة لخدمات الـ MVP، بالإضافة إلى مناقشة طلبات تعديل مسارات الإجراءات التي سبق اعتمادها والموافقة عليها خلال مرحلة التحليل.
2 فبراير: تم عقد اجتماع مع فريق المديرية  د. نمر، وتمت مناقشة التحديات القائمة، مع التأكيد على أهمية وضرورة مشاركة النماذج والحقول المطلوبة لخدمات الـ MVP </t>
  </si>
  <si>
    <r>
      <t xml:space="preserve"> البدء  في تصميم نظام إجراءات نزلاء السجون</t>
    </r>
    <r>
      <rPr>
        <sz val="11"/>
        <color rgb="FF000000"/>
        <rFont val="Calibri"/>
        <family val="2"/>
        <scheme val="minor"/>
      </rPr>
      <t xml:space="preserve"> (UI/UX &amp; Story Board for MVP Services)</t>
    </r>
  </si>
  <si>
    <r>
      <t xml:space="preserve"> البدء  في تصميم نظام إجراءات نزلاء السجون</t>
    </r>
    <r>
      <rPr>
        <sz val="11"/>
        <color rgb="FF000000"/>
        <rFont val="Calibri"/>
        <family val="2"/>
        <scheme val="minor"/>
      </rPr>
      <t xml:space="preserve"> (UI/UX &amp; Story Board for Full Scope)</t>
    </r>
  </si>
  <si>
    <r>
      <t>البدء بتطوير</t>
    </r>
    <r>
      <rPr>
        <sz val="11"/>
        <color rgb="FF000000"/>
        <rFont val="Calibri"/>
        <family val="2"/>
        <scheme val="minor"/>
      </rPr>
      <t xml:space="preserve"> نظام إجراءات نزلاء السجون (MVP)</t>
    </r>
  </si>
  <si>
    <r>
      <t>الانتهاء من اختبارات المرحلة الثانية وقبول المستخدم (</t>
    </r>
    <r>
      <rPr>
        <sz val="11"/>
        <color rgb="FF000000"/>
        <rFont val="Calibri"/>
        <family val="2"/>
        <scheme val="minor"/>
      </rPr>
      <t>Full Scope)</t>
    </r>
  </si>
  <si>
    <r>
      <t>البدء في إختبارات</t>
    </r>
    <r>
      <rPr>
        <sz val="11"/>
        <color rgb="FF000000"/>
        <rFont val="Calibri"/>
        <family val="2"/>
        <scheme val="minor"/>
      </rPr>
      <t xml:space="preserve"> أداء النظام والفحص الامني/الإختراق (كامل النظام)</t>
    </r>
  </si>
  <si>
    <r>
      <t>إطلاق نظام إجراءات نزلاء السجون (</t>
    </r>
    <r>
      <rPr>
        <sz val="11"/>
        <color rgb="FF000000"/>
        <rFont val="Calibri"/>
        <family val="2"/>
        <scheme val="minor"/>
      </rPr>
      <t>MVP)</t>
    </r>
  </si>
  <si>
    <r>
      <t>إطلاق نظام إجراءات نزلاء السجون (</t>
    </r>
    <r>
      <rPr>
        <sz val="11"/>
        <color rgb="FF000000"/>
        <rFont val="Calibri"/>
        <family val="2"/>
        <scheme val="minor"/>
      </rPr>
      <t>Full Scope + Dashboard)</t>
    </r>
  </si>
  <si>
    <r>
      <t>الانتهاء من إطلاق نظام عرض البيانات</t>
    </r>
    <r>
      <rPr>
        <sz val="11"/>
        <color rgb="FF000000"/>
        <rFont val="Calibri"/>
        <family val="2"/>
        <scheme val="minor"/>
      </rPr>
      <t>*</t>
    </r>
  </si>
  <si>
    <r>
      <t>أعتماد تصميم نظام إجراءات نزلاء السجون</t>
    </r>
    <r>
      <rPr>
        <sz val="11"/>
        <color rgb="FF000000"/>
        <rFont val="Calibri"/>
        <family val="2"/>
        <scheme val="minor"/>
      </rPr>
      <t xml:space="preserve"> (UI/UX &amp; Story Board for Full Scope)</t>
    </r>
  </si>
  <si>
    <r>
      <t>الأنتهاء من تطوير</t>
    </r>
    <r>
      <rPr>
        <sz val="11"/>
        <color rgb="FF000000"/>
        <rFont val="Calibri"/>
        <family val="2"/>
        <scheme val="minor"/>
      </rPr>
      <t xml:space="preserve"> نظام إجراءات نزلاء السجون  (MVP)</t>
    </r>
  </si>
  <si>
    <r>
      <t>الانتهاء من إختبارات</t>
    </r>
    <r>
      <rPr>
        <sz val="11"/>
        <color rgb="FF000000"/>
        <rFont val="Calibri"/>
        <family val="2"/>
        <scheme val="minor"/>
      </rPr>
      <t xml:space="preserve"> أداء النظام والفحص الامني/الإختراق (كامل النظام)</t>
    </r>
    <r>
      <rPr>
        <sz val="11"/>
        <color theme="1"/>
        <rFont val="Calibri"/>
        <family val="2"/>
        <scheme val="minor"/>
      </rPr>
      <t xml:space="preserve"> , والنشر على البيئة التشغيلية </t>
    </r>
  </si>
  <si>
    <r>
      <t>إطلاق نظام إجراءات نزلاء السجون (</t>
    </r>
    <r>
      <rPr>
        <sz val="11"/>
        <color rgb="FF000000"/>
        <rFont val="Calibri"/>
        <family val="2"/>
        <scheme val="minor"/>
      </rPr>
      <t>كامل النظام)</t>
    </r>
  </si>
  <si>
    <r>
      <t>الأنتهاء من إطلاق نظام إجراءات نزلاء السجون (</t>
    </r>
    <r>
      <rPr>
        <sz val="11"/>
        <color rgb="FF000000"/>
        <rFont val="Calibri"/>
        <family val="2"/>
        <scheme val="minor"/>
      </rPr>
      <t>كامل النظام)</t>
    </r>
  </si>
  <si>
    <r>
      <t>البدء بتطوير</t>
    </r>
    <r>
      <rPr>
        <sz val="11"/>
        <color rgb="FF000000"/>
        <rFont val="Calibri"/>
        <family val="2"/>
        <scheme val="minor"/>
      </rPr>
      <t xml:space="preserve"> نظام إجراءات نزلاء السجون (Full Scope)</t>
    </r>
  </si>
  <si>
    <r>
      <t>الأنتهاء من تطوير</t>
    </r>
    <r>
      <rPr>
        <sz val="11"/>
        <color rgb="FF000000"/>
        <rFont val="Calibri"/>
        <family val="2"/>
        <scheme val="minor"/>
      </rPr>
      <t xml:space="preserve"> نظام إجراءات نزلاء السجون (Full Scope)</t>
    </r>
  </si>
  <si>
    <t xml:space="preserve">تأخير مصادقة متطلبات وثيقة متطلبات الأعمال وعقد ورش العمل اللازمة مع المديرية. </t>
  </si>
  <si>
    <t>الاستعجال في عقد ورش نقل المعرفة بالتنسيق مع شركة يونيكوم لضمان إغلاق مرحلة التحليل في الوقت المحدد.</t>
  </si>
  <si>
    <t>7 يناير: تم تصعيد تأثير تأخر جلسات نقل المعرفة على بدء تحديد وتحليل خدمات الـ MVP وإغلاق مرحلة التحليل.</t>
  </si>
  <si>
    <t>توفير صلاحيات الوصول المطلوبة والتأكد من جاهزية الخوادم، مع تخصيص مهندس من الشركة للعمل بشكل مباشر مع فريق البنية التحتية للمديرية لتسريع تجهيز البيئات ومعالجة أي معوقات تقنية</t>
  </si>
  <si>
    <t>20 يناير: تم تصعيد ضرورة توفير الصلاحيات وعقد اجتماع مع الفريق التقني في المديرية.
01 فبراير: تم توفير مهندس من قبل الشركة للعمل المباشر مع فريق البنية التحتية وتسريع تجهيز البيئات</t>
  </si>
  <si>
    <t>توسع غير مخطط في نطاق المشروع وتأخير إغلاق المشروع حسب الخطة المعتمدة.</t>
  </si>
  <si>
    <t>الالتزام بنطاق المشروع المعتمد، وتقييم أثر أي طلبات جديدة وعرضها على اللجان المشتركة لاتخاذ القرار.</t>
  </si>
  <si>
    <t>ضغط الجدول الزمني وتأخير تسليم خدمات الـ MVP.</t>
  </si>
  <si>
    <t>تأخير استكمال المتطلبات غير الوظيفية وتسليم وثيقة متطلبات النظام (SRS).</t>
  </si>
  <si>
    <t>تفعيل آلية تواصل فعالة من خلال عقد اجتماعات يومية مع فريق المديرية والإدارات ذات العلاقة لاستكمال المتطلبات المتبقية، مع متابعة التقدم والمعوقات ضمن الاجتماع الأسبوعي</t>
  </si>
  <si>
    <t>2 فبراير: عقد اجتماع مع فريق المديرية لمناقشة التحديات والتأكيد على آلية الاجتماع اليومي لاستكمال المتطلبات المتبقية</t>
  </si>
  <si>
    <t>تأخير إغلاق مرحلة التحليل مما أدى إلى تأخير بدء التصميم والتطوير للمرحلة الأولى</t>
  </si>
  <si>
    <t>مشاركة ملف تصنيف الخدمات والإدارات التابعة لها مع المديرية لتنسيق عقد الاجتماعات اللازمة واستكمال واعتماد المتطلبات غير الوظيفية خلال الفترة المحددة</t>
  </si>
  <si>
    <t>المتابعة الدورية مع أصحاب المصلحة والتصعيد المبكر لأي تأخير مؤثر، مع تنفيذ بعض أنشطة المشروع بشكل متواز لتسريع الإنجاز</t>
  </si>
  <si>
    <t>2 فبراير: تمت مناقشة الأثر التراكمي للتأخيرات الناتجة عن تأخر استكمال المتطلبات غير الوظيفية على الجدول الزمني المعتمد.</t>
  </si>
  <si>
    <t xml:space="preserve">تأخير البدء في أنشطة التطوير والتنفيذ </t>
  </si>
  <si>
    <t>عدم جاهزية بيئات العمل التطويرية ، الأختبارية والتشغيلية
 وعدم توفير المتطلبات الأساسية الأخرى مثل المنافذ والشبكة وجدار الحماية وحسابات الخدمة</t>
  </si>
  <si>
    <t>التأكيد على أعتماد تطوير تطبيق الهاتف المحمول في نطاق المشروع او أعتماد أستعمال البوابة عن طريق الهاتف (Responsive design)</t>
  </si>
  <si>
    <t>تأخير تحليل وتسليم التحليل الفني والتقني للخدمتين</t>
  </si>
  <si>
    <t>عدم جاهزية مرحلة التحليل لخدمتي (البيت العائلي والأمانات)، وذلك لعدم تأكيدها واعتمادها في المرحلة السابقة مع فريق شركة يونيكوم</t>
  </si>
  <si>
    <t>اعتماد تصميم DGA من قبل المديرية.</t>
  </si>
  <si>
    <t>عقد جلسات نقل المعرفة لكافة الخدمات مع فريق يونيكوم</t>
  </si>
  <si>
    <t>عدم تأكيد اعتماد تطوير تطبيق جوال ضمن نطاق المشروع أو الاكتفاء بالبوابة المتجاوبة.</t>
  </si>
  <si>
    <t>طلب قرار رسمي ومعتمد من المديرية لتأكيد اعتماد تطوير تطبيق الجوال أو الاكتفاء باستخدام البوابة المتجاوبة</t>
  </si>
  <si>
    <t xml:space="preserve">تكرار التعديلات على سير العمل لخدمة طلب النقل والخروج للضرورة "وثيقة متطلبات الأعمال معتمدة" </t>
  </si>
  <si>
    <t>Marwan</t>
  </si>
  <si>
    <t>إعادة العمل على التحليل وسير العمل
تأخير البدء في التصميم و التطوير
التأثير على الجدول الزمني المعتمد للمشروع</t>
  </si>
  <si>
    <t xml:space="preserve"> اعتماد تنفيذ أي تعديلات على سير العمل فقط من خلال آلية إدارة التغيير المعتمدة, وربط أي تعديل بتقييم أثر معتمد يوضح تأثيره على النطاق والجدول الزمني والجهد قبل التنفيذ. عقد أجتماع مع المديرية لأعتماد سير العمل النهائي قبل البدء بالتطوير</t>
  </si>
  <si>
    <t>على الرغم من ورود متطلبات تطبيق الهاتف المحمول ضمن نطاق المشروع، إلا أنه لم يتم حتى الان تأكيد ما إذا كان سيتم اعتماد تطوير تطبيق جوال مستقل  أو الاكتفاء باستخدام البوابة عبر الهاتف بتصميم متجاوب، وذلك في ظل كون المشروع حاليًا في مرحلة التحليل والذي قد يؤدي إلى اختلاف جوهري في نطاق العمل، إعادة التحليل والتصميم، وتأخير بدء أنشطة التطوير، مع تأثير مباشر على الجدول الزمني</t>
  </si>
  <si>
    <t>عقد الأجتماعات مع الأدارات المعنية والتأكيد على المتطلبات التقنية والفنية  والحصول على تأكيد رسمي من المديرية بشأن إدراج أو استبعاد خدمة الأمانات من النطاق.</t>
  </si>
  <si>
    <t>03/02/2026
10/02/2026</t>
  </si>
  <si>
    <t>مناقشة خدمات MVP المطلوبة مع المديرية والاتفاق عليها</t>
  </si>
  <si>
    <t>أعتماد وثيقة متطلبات الأعمال التفصيلية SRS لجميع الخدمات</t>
  </si>
  <si>
    <t>عدم استكمال واعتماد المتطلبات غير الوظيفية لخدمات MVP</t>
  </si>
  <si>
    <t>20 يناير: تمت مناقشة التأخير في مشاركة الحقول و والنماذج المتعلقة بالخدمات من قبل المديرية في الأجتماع الأسبوعي مع فريق سامي لأتخاذ الأجراء والأجتماع مع الأدارات لأنهاء الخدمات الوظيفية 
20 يناير: تمت مناقشة التأخير في مشاركة الحقول و والنماذج والتأخير المترتب على الجدول الزمني لتسليم خدمات MVP 
25 يناير: تم عقد اجتماع مع المساعد للعمليات، ومناقشة تسليم النماذج وال Metadata المطلوبة لخدمات MVP ومناقشة طلبات لتعديل مسارات الإجراءات التي تم اعتمادها والموافقة عليها مسبقًا خلال مرحلة التحليل
2 فبراير: تم الأجتماع مع فريق المديرية د. نمر ومناقشة التحديات وضوروة مشاركة النماذج والحقول لخدمات MVP 
3 فبراير: تم مشاركة وأعتماد حقول خدمة الشكاوي والأقتراحات 
8 فبراير: تمت مشاركة النماذج والحقول لخدمة النقل والخروج للضروره وبأنتظار أعتمادها والتعديلات المتعلقة بها وبعد المراجعة وردت عدة ملاحظات من المديرية تتطلب تعديل سير العمل وتقسيم سير العمل إلى مسارين مختلفين؛، مع الاستمرار في إضافة ملاحظات جديدة للتعديل 
10 فبراير: تم مناقشة التأخير على أعتماد التعديلات على خدمة النقل والخروج للضروره مع فريق المديرية وضرورة الحصول على الأعتماد بشكل عاجل اليوم، لم يتمكن فريق التنفيذ من الحصول على الأعتماد بسبب عدم تواجد إدارة مساعد العمليات 
15 قبراير: تم الأجتماع مع فريق المديرية و الأتفاق على البدء بتنفيذ نطاق MVP ، ويشمل ذلك الخدمات بناًء على المعلومات المتاحة حاليا التالية: الشكاوي واالقتراحات – النقل – طلب الخروج.</t>
  </si>
  <si>
    <t>20 يناير: تمت مناقشة التأخير في مشاركة الحقول و والنماذج المتعلقة بالخدمات من قبل المديرية في الأجتماع الأسبوعي مع فريق سامي لأتخاذ الأجراء والأجتماع مع الأدارات لأنهاء الخدمات الوظيفية 
20 يناير: تمت مناقشة التأخير في مشاركة الحقول و والنماذج والتأخير المترتب على الجدول الزمني للبدء في اعداد وثيقة متطلبات الأعمال التفصيلية و تسليم خدمات MVP 
25 يناير: تم عقد اجتماع مع المساعد للعمليات، ومناقشة تسليم النماذج وال Metadata المطلوبة لخدمات MVP ومناقشة طلبات لتعديل مسارات الإجراءات التي تم اعتمادها والموافقة عليها مسبقًا خلال مرحلة التحليل
2 فبراير: تم الأجتماع مع فريق المديرية د. نمر ومناقشة التحديات وضوروة مشاركة النماذج والحقول لخدمات MVP 
3 فبراير: تم مشاركة وأعتماد حقول خدمة الشكاوي والأقتراحات 
15 قبراير: تم الأجتماع مع فريق المديرية و الأتفاق على البدء بتنفيذ نطاق MVP ، ويشمل ذلك الخدمات بناًء على المعلومات المتاحة حاليا التالية: الشكاوي واالقتراحات – النقل – طلب الخروج</t>
  </si>
  <si>
    <t>"+30 days"</t>
  </si>
  <si>
    <t>+30</t>
  </si>
  <si>
    <t xml:space="preserve"> 12 يناير: بأنتظار عقد جلسات مع المديرية لأنهاء متطلبات الأعمال الغير وظيفية وعكسها على وثيقة SRS    
20 يناير -27 يناير: تم مناقشة هذا التحدي والتصعيد مع الفرق المعنية في المديرية 
03 فبراير: تم مشاركة ملف يتضمن الأدارات المتعلقة بكل خدمة على ان يتم عقد جلسات مع الأدارات المعنية، وتم التأكيد من قبل فريق المديرية على أن تبدأ الجلسات بتاريخ 3 فبراير
 15 فبراير: تم الأجتماع مع فريق المديرية وتم أعتماد النماذج والحقول لخدمات MVP
19 فبراير: تمت مشاركة وثيقة متطلبات الأعمال التفصيلة للمراجعة والأعتماد 
24 فبراير: تم أعتماد الوثيقة من قبل فريق المديرية </t>
  </si>
  <si>
    <t>12/02/2026
27/02/2026</t>
  </si>
  <si>
    <t>+42</t>
  </si>
  <si>
    <t>+31</t>
  </si>
  <si>
    <t>9 فبراير: بعد استلام النماذج والحقول الخاصة بخدمتي طلب النقل وطلب الخروج للضرورة، وردت عدة ملاحظات تتطلب تعديل سير العمل؛ حيث تم طلب تعديل المسار في المرحلة الأولى، تلاه لاحقًا طلب تقسيم سير العمل إلى مسارين مختلفين، مع الاستمرار في إضافة ملاحظات جديدة للتعديل، وذلك على الرغم من أن وثيقة متطلبات الأعمال (BRD) معتمدة مسبقًا من قبل شركة يونيكوم
15 فبراير: تم أعتماد النماذج والحقول لخدمات MVP</t>
  </si>
  <si>
    <t>03 فبراير: تم تمت مناقشة خدمة تسليم الأمانات مع المديرية في الأجتماع اليومي، حيث تقرر وضعها حاليًا في حالة  On Hold إلى حين تأكيد المديرية حول ما إذا كانت ستندرج ضمن خدمات النزيل أو ضمن مشروع خارجي آخر
26 فبراير: تم التأكيد من قبل المديرية بأنه يتم تطوير عمل الخدمة مقتصراً على الأمانات العينية فقط</t>
  </si>
  <si>
    <t>02 فبراير: تم التأكيد في الأجتماع اليومي من المديرية  بتزويد الشركة بملف القضايا المستثناة من طلبات النقل والخروج، وقائمة المراكز التأهيلية المعتمدة، وآلية الربط مع البصمة (آلية دخول النزيل)، إضافة إلى مشاركة النماذج والحقول الخاصة بخدمتي طلب النقل وطلب الخروج للضرورة
09 مارس: تمت مشاركة المراكز التأهيلية المعتمدة من قبل المديرية</t>
  </si>
  <si>
    <t xml:space="preserve">وثيقة متطلبات الأعمال التفصيلية لخدمات حلقات تحفيظ القرآن الكريم، اختبارات القرآن الكريم, خدمة إمام أو مؤذن_  إدارة النوجية الأرشاد </t>
  </si>
  <si>
    <t xml:space="preserve">وثيقة متطلبات الأعمال التفصيلية والتصمايم لخدمات التعليم والتدريب والتشغيل </t>
  </si>
  <si>
    <t>وثيقة متطلبات الأعمال التفصيلية (SRS) الخاصة لخدمة تسليم الأمانات</t>
  </si>
  <si>
    <t>وثيقة متطلبات الأعمال التفصيلية (SRS) الخاصة لخدمات طلب نقل الى مركز تأهيلي, طلب نقل من مركز تأهيلي الى مركز تأهيلي آخر</t>
  </si>
  <si>
    <t>29/02/2026</t>
  </si>
  <si>
    <t xml:space="preserve">A.Aliwat &amp; Motaz </t>
  </si>
  <si>
    <t xml:space="preserve">4 فبراير: تم الأجتماع مع إدارة الأصلاح والتأهيل ومناقشة خدمة التشغيل، التدريب و التعليم ومناقشة التحليل الفني والتقني والية التنفيذ. وبأنتظار تزويدنا بالحقول والنماذج المتعلقة بكل خدمة
12 فبراير: تمت مشاركة الحقول والنماذح للتشغيل والتدريب والتعليم من قبل المديرية
16 فبراير: تم أعتماد ملفات خدمات التشغيل والتدريب والتعليم
03: تمت مشاركة وثيقة الأعمال التفصيلية لخدمات التعليم والتدريب والتشغيل وتم أعتمادها من قبل المديرية
12مارس: تمت مشاركة التصاميم للبوابة والكيوسك لخدمات التعليم والتدريب والتشغيل للمراجعة والأعتماد من قبل فريق سامي
 </t>
  </si>
  <si>
    <t>خدمات إدارة التأهيل والأصلاح  ( التعليم والتدريب والتشغيل)</t>
  </si>
  <si>
    <r>
      <t>البدء من اختبارات المرحلة الأولى وقبول المستخدم (</t>
    </r>
    <r>
      <rPr>
        <sz val="11"/>
        <color rgb="FF000000"/>
        <rFont val="Calibri"/>
        <family val="2"/>
        <scheme val="minor"/>
      </rPr>
      <t>MVP)</t>
    </r>
  </si>
  <si>
    <t>20 يناير: مناقشة تأخر مشاركة الحقول والنماذج وتأثيره على الجدول الزمني خلال الاجتماع الأسبوعي مع فريق سامي.
25 يناير: عقد اجتماع مع المساعد للعمليات لمناقشة تسليم النماذج وبيانات الـ Metadata وطلبات تعديل مسارات الإجراءات المعتمدة.
2 فبراير: اجتماع مع فريق المديرية لمناقشة التحديات والتأكيد على ضرورة مشاركة النماذج والحقول لخدمات الـ MVP.
3 فبراير: تم مشاركة واعتماد حقول خدمة الشكاوى والاقتراحات.
15 فبراير: تم البدء بتصميم واجهات النطام لخدمة الشكاوي والأقتراحات
01 مارس: تم أعتماد التصمايم والبدء بالتطوير</t>
  </si>
  <si>
    <t xml:space="preserve">20 يناير: تمت مناقشة التأخير في مشاركة الحقول و والنماذج المتعلقة بالخدمات من قبل المديرية في الأجتماع الأسبوعي مع فريق سامي لأتخاذ الأجراء والأجتماع مع الأدارات لأنهاء الخدمات الوظيفية 
20 يناير: تمت مناقشة التأخير في مشاركة الحقول و والنماذج والتأخير المترتب على الجدول الزمني للبدء في اعداد وثيقة متطلبات الأعمال التفصيلية و تسليم خدمات MVP 
25 يناير: تم عقد اجتماع مع المساعد للعمليات، ومناقشة تسليم النماذج وال Metadata المطلوبة لخدمات MVP ومناقشة طلبات لتعديل مسارات الإجراءات التي تم اعتمادها والموافقة عليها مسبقًا خلال مرحلة التحليل
2 فبراير: تم الأجتماع مع فريق المديرية د. نمر ومناقشة التحديات وضرورة مشاركة النماذج والحقول لخدمات MVP 
3 فبراير: تم مشاركة وأعتماد حقول خدمة الشكاوي والأقتراحات 
10 فبراير: تم مناقشة التأخير على أعتماد التعديلات على خدمة النقل والخروج للضروره مع فريق المديرية وضرورة الحصول على الأعتماد بشكل عاجل اليوم، لم يتمكن فريق التنفيذ من الحصول على الأعتماد بسبب عدم تواجد إدارة مساعد العمليات
15 قبراير: تم الأجتماع مع فريق المديرية و الأتفاق على البدء بتنفيذ نطاق MVP ، ويشمل ذلك الخدمات بناًء على المعلومات المتاحة حاليا التالية: الشكاوي واالقتراحات – النقل – طلب الخروج 
12 مارس: تمت مشاركة وثيقة متطلبات الأعمال ل 8 خدمات </t>
  </si>
  <si>
    <t>خلال جلسات التسليم مع فريق Unickomm Platformation، أفاد الفريق بأن المتطلبات النهائية لهاتين الخدمتين لم يتم توفيرها
 فيما يخص خدمة «الأمانات»، تمت مناقشة التفاصيل مع PGD، حيث أفادونا بضرورة وضع الخدمة قيد الإيقاف مؤقتًا، نظرًا لوجود نظام آخر وهو «Nazeel Pay» مخصص لخدمة «الأمانات»، ويرغبون أولًا في التحقق واعتماد هذا التوجه
فيما يخص خدمة «البيت العائلي»، سيتم مناقشة المتطلبات النهائية مع الجهة المختصة خلال جلسات المتطلبات غير الوظيفية، حيث إنها غير جاهزة حاليًا. كما أوصت PGD بجدولة هذه المناقشة لتكون الاجتماع الأخير
26 فبراير: تم التأكيد من قبل المديرية بأنه يتم تطوير عمل الخدمة مقتصراً على الأمانات العينية فقط
08 مارس: عقد أجتماع مع فريق المديرية لخدمة  البيت العائلي حيث تم مشاركة الملفات الخاصة بخدمة البيت العائلي وانتظار المراجعة مع الادارة المعنية (مسار العمل)</t>
  </si>
  <si>
    <t>3 فبراير: خلال الاجتماع الأسبوعي وعدة أجتماعات سابقه وبحضور فريق المديرية، تم التوضيح بأن الخدمة مدرجة حاليًا ضمن نطاق مشروع ، ولم يتم حتى تاريخه تأكيد ما إذا كان سيتم اعتماد تطوير تطبيق جوال ضمن نطاق المشروع  أو الاكتفاء بالبوابة المتجاوبة</t>
  </si>
  <si>
    <t xml:space="preserve">15 فبراير: تم البدء بتصميم واجهات النطام لخدمة الشكاوي والأقتراحات 
26 فبراير: تمت مشاركة التصاميم للبوابة والكيوسك لخدمات MVP للمراجعة والأعتماد. تم الموافقة على التصاميم من قبل المديرية وفريق سامي
12 مارس: تمت مشاركة التصاميم للبوابة والكيوسك لخدمات التعليم والتدريب والتشغيل للمراجعة والأعتماد.
26 مارس: تمت الانتهاء من تصاميم واجهات البوابة وجهاز الخدمة الذاتية لجميع خدمات المشروع (Full Scope) ومشاركتها مع فريق سامي والمديرية للمراجعة والاعتماد
30 مارس: تم أعتماد جميع خدمات نطاق المشروع وتصاميم البوابة وجهاز الخدمة الذاتية من قبل فريق سامي والمديرية وبأنتئار خدماة البيت العائلي والزيارات </t>
  </si>
  <si>
    <t>خلال جلسات التسليم مع فريق Unickomm Platformation، أفاد الفريق بأن المتطلبات النهائية لهاتين الخدمتين "البيت العائلي وتسليم الأمانات" لم يتم توفيرها
فيما يخص خدمة «البيت العائلي»، سيتم مناقشة المتطلبات النهائية مع الجهة المختصة خلال جلسات المتطلبات غير الوظيفية، حيث إنها غير جاهزة حاليًا. كما أوصت PGD بجدولة هذه المناقشة لتكون الاجتماع الأخير
08 مارس: عقد أجتماع مع فريق المديرية لخدمة  البيت العائلي حيث تم مشاركة الملفات الخاصة بخدمة البيت العائلي وانتظار المراجعة مع الادارة المعنية (مسار العمل)
12 أبريل: تم أعتماد متطلبات الخدمة من قبل المديرية</t>
  </si>
  <si>
    <t xml:space="preserve">20 يناير: تمت استلام الخوادم من قبل المديرية، حيث تبين أنها لا تغطي جميع البيئات المطلوبة، إضافة إلى أن هذه الخوادم غير مخصصة بشكل واضح لأي بيئة محددة (تطوير، اختبار، أو تشغيل) وتمت متاقشتها مع فريق سامي لأخذ الأجراء اللازم 
25 يناير:تم عقد اجتماع مع فريق البنية التحتية، حيث تم الاتفاق على تزويد بيئة التطوير بالخوادم بعد تطبيق التحديثات حسب وثيقة الحل المعماري والتصميم المعتمدة 
3 فبراير: توفير مهندس من قبل الشركة للعمل بشكل مباشر مع فريق البنية التحتية للمديرية لضمان تسريع تجهيز البيئات ومعالجة أي معوقات تقنية
9 فبراير: تم الأجتماع مع فريق المديرية وفريق البنية التحتية بتاريخ 8 فبراير وتمت مشاركة ملف إكسل يتضمن الأسماء الفعلية وعناوين IP  المتعلقة  بالأنظمة لكل من البيئة التطويرية والبيئة التجريبية و مشاركة ملف إكسل آخر يتضمن المنافذ الخاصة بالنظام لكل من البيئة التطويرية والبيئة التجريبية
10 فبراير: بعد تأكيد وتجهيز تحديثات بنية الخوادم والمنافذ المطلوبة، قام فريق تقنية المعلومات بتخصيص خادمين لنظام آخر. ونتيجةً لذلك، طلبنا تحديث البنية الخاصة بنا لتتوافق مع هذا التغيير، وسيتم إعادة إرسال المستندات محدثه وفقًا لذلك
05 مارس: تم التأكيد من قبل فريق البنية التحتية في المديرية بفتح جميع المنافذ المطلوبة للبيئة الأختبارية والتشغيلية. 
09 مارس: تمت مراجعة المنافذ من قبل نتويز حيث تبين ان معضم المنافذ لاتزال غير مفعلة31
31 مارس: تمت مناقشة المتطلبات التقنية مع فريق البنية التحتية  للبدء في تثبيت نظام  CRM والتي تشمل تجهيز خادم ADFS ، إعدادات SPN ، تجهيز المنافذ
7 أبريل: تم الـتأكيد من قبل المديية بجهوزية البيئة التطويرية </t>
  </si>
  <si>
    <t>Project Summary Statistics</t>
  </si>
  <si>
    <t>Total Actions/Assumptions:</t>
  </si>
  <si>
    <t>Completed:</t>
  </si>
  <si>
    <t>Delayed:</t>
  </si>
  <si>
    <t>In Progress:</t>
  </si>
  <si>
    <t>Active:</t>
  </si>
  <si>
    <t>Completion Rate:</t>
  </si>
  <si>
    <t>Total Risks:</t>
  </si>
  <si>
    <t>Active Risks:</t>
  </si>
  <si>
    <t>Inactive Risks:</t>
  </si>
  <si>
    <t>Escalated to Issue:</t>
  </si>
  <si>
    <t>Critical Priority:</t>
  </si>
  <si>
    <t>High Priority:</t>
  </si>
  <si>
    <t>Total Issues:</t>
  </si>
  <si>
    <t>Active Issues:</t>
  </si>
  <si>
    <t>Closed Issues:</t>
  </si>
  <si>
    <t>Critical Impact:</t>
  </si>
  <si>
    <t>High Impact:</t>
  </si>
  <si>
    <t>Total Dependencies:</t>
  </si>
  <si>
    <t>Closed:</t>
  </si>
  <si>
    <t>Active/Planned:</t>
  </si>
  <si>
    <t>Days Overdue</t>
  </si>
  <si>
    <t>Status Flag</t>
  </si>
  <si>
    <t>Risk Score</t>
  </si>
  <si>
    <t>Risk Level</t>
  </si>
  <si>
    <t>Days Open</t>
  </si>
  <si>
    <t>Urgency</t>
  </si>
  <si>
    <t>Days Until Due</t>
  </si>
  <si>
    <t>Project Health Indicators</t>
  </si>
  <si>
    <t>Active Critical Risks:</t>
  </si>
  <si>
    <t>Active High Risks:</t>
  </si>
  <si>
    <t>Open Critical Issues:</t>
  </si>
  <si>
    <t>Delayed Dependencies:</t>
  </si>
  <si>
    <t>⚠️ Items Requiring Attention:</t>
  </si>
  <si>
    <t>Delayed Actions:</t>
  </si>
  <si>
    <t>Overdue Items:</t>
  </si>
  <si>
    <t>Escalated Risks:</t>
  </si>
  <si>
    <r>
      <t>الأنتهاء من تصميم نظام إجراءات نزلاء السجون</t>
    </r>
    <r>
      <rPr>
        <sz val="11.5"/>
        <color theme="1"/>
        <rFont val="Sakkal Majalla"/>
      </rPr>
      <t xml:space="preserve"> (UI/UX &amp; Story Board for MFP Services)</t>
    </r>
    <r>
      <rPr>
        <sz val="11"/>
        <color theme="1"/>
        <rFont val="Calibri"/>
        <family val="2"/>
        <scheme val="minor"/>
      </rPr>
      <t xml:space="preserve"> 
MVP &amp;Full scope </t>
    </r>
  </si>
  <si>
    <t>وثيقة متطلبات الأعمال التفصيلية (SRS) الخاصة لخدمة خدمة الزيارة العامة والزيارة المرئية
خدمة البيت العائلي</t>
  </si>
  <si>
    <t xml:space="preserve">03 مارس: تمت ماشركة وثيقة متطلبات الأعمال التفصيلية مع فريق سامي للموافقه والأعتماد
04 مارس: تم أعتماد الوثيقة من قبل المديرية
12 مارس: تمت مشاركة تصاميم البوابة والكويسك للمراجعة والأعتماد
15 مارس: تم أعتماد الوثيقة من قبل المديرية
</t>
  </si>
  <si>
    <t>12 مارس: تمت مشاركة وثيقة متطلبات الأعمال التفصيلية (SRS) الخاصة لخدمات طلب نقل الى مركز تأهيلي, طلب نقل من مركز تأهيلي الى مركز تأهيلي آخر المندرج تحت الإدارة العامة للمراكز التأهيلية التخصصية للمراجعة والأعتماد
1 أبريل: تم أعتماد الوثيقة من قبل المديرية</t>
  </si>
  <si>
    <t>09 مارس: تمت مشاركة وثيقة متطلبات الأعمال التفصيلية (SRS) الخاصة لخدمة تسليم الأمانات للمراجعة والأعتماد
1 أبريل: تم أعتماد الوثيقة من قبل المديرية</t>
  </si>
  <si>
    <t>18 فبراير: تم عقد اجتماع مع فريق الإرشاد والتوجيه في المديرية ومناقشة خدمات تحفيظ القرآن، الاختبارات، الإمام والمؤذن ومراجعة النماذج
25 فبراير:تم أعتماد حلقات تحفيظ القرآن الكريم، اختبارات القرآن الكريم, خدمة إمام أو مؤذن
09 مارس: تمت ماشركة وثيقة متطلبات الأعمال التفصيلية مع فريق سامي للموافقه والأعتماد
1 أبريل: تم أعتماد الوثيقة من قبل المديرية</t>
  </si>
  <si>
    <t>12 مارس: تمت مشاركة وثيقة متطلبات الأعمال التفصيلية (SRS) الخاصة لخدمات طلب نقل الى مركز تأهيلي, طلب نقل من مركز تأهيلي الى مركز تأهيلي آخر المندرج تحت الإدارة العامة للمراكز التأهيلية التخصصية للمراجعة والأعتماد
25 مارس: تم أعتماد الوثيقة من قبل فريق سامي
1 أبريل: تم أعتماد الوثيقة من قبل المديرية</t>
  </si>
  <si>
    <t>وثيقة متطلبات الأعمال التفصيلية لخدمة تسليم الأمانات وخدمات إدارة الرعاية الصحية</t>
  </si>
  <si>
    <t>09 مارس: تمت مشاركة وثيقة متطلبات الأعمال التفصيلية (SRS) الخاصة لخدمة تسليم الأمانات للمراجعة والأعتماد
25 مارس: تمت مشاركة وثيقة متطلبات الأعمال التفصيلية (SRS) الخاصة لخدمةالرعاية لصحية للمراجعة والأعتماد
25 مارس: تم أعتماد الوثيقة من قبل المديرية وفريق سامي
1 أبريل: تم أعتماد الوثيقة من قبل المديرية</t>
  </si>
  <si>
    <t xml:space="preserve">18 مارس: تمت مشاركة نسخة مبدئية من وثيقة متطلبات الأعمال التفصيلية (SRS)
12 أبريل: تم أعتماد متطلبات خدمة البيت العائلي من قبل المديرية
05 أبريل: تم عقد اجتماع مع مسؤولي خدمة البيت العائلي لمراجعة النماذج ومتطلبات الأعمال التفصيلية للخدمة
13 أبريل: تمت مشاركة نسخة محدثة وعكس المتطلبات العتمدة على الوثيقة لخدمة البيت العائلي للأعتماد 
15 أبريل: تم أعتماد وثيقة متطلبات الأ‘عمال التفصيلية لخدمة البيت العائلي </t>
  </si>
  <si>
    <t>02 فبراير: تم التأكيد في الأجتماع اليومي من المديرية  بتزويد الشركة بملف القضايا المستثناة من طلبات النقل والخروج، وقائمة المراكز التأهيلية المعتمدة، وآلية الربط مع البصمة (آلية دخول النزيل)، إضافة إلى مشاركة النماذج والحقول الخاصة بخدمتي طلب النقل وطلب الخروج للضرورة
11  مارس: عقد اجتماع مع المهندس عمر من فريق البنية التحتية ومناقشة آلية استخدام البصمة، وتم الاتفاق على تنفيذها أثناء مرحلة التنفيذ لعدم توفر توثيق فني لالية الاستخدام.
05 أبريل: تم عقد اجتماع مع فريق البنية التحتية في المديرية لاستعراض آخر التحديثات التقنية، ومناقشة آلية البصمة ومتطلبات التكامل</t>
  </si>
  <si>
    <t xml:space="preserve">طلب التعديلات على خدمات MVP </t>
  </si>
  <si>
    <t>19 أبريل: تم استعراض الملاحظات المطلوبة على النظام، ومن ضمنها تعديل بعض البيانات مثل )اسم السجن
وغيرها(، على أن يتم تنفيذ التعديلات بعد استكمال وجمع كافة البيانات من نظام نزيل السابق . مناقشة تعديل مسمى خانة “استفسار عن شكوى” ليكون “استفسار” فقط و تحديث سير عمل الشكاوى/الاستفسارات بعد تقديمها من النزيل أو ذويه، آلية عرض سبب رفض الشكوى للنزيل، إضافة خطوة اعتماد المدير العام ضمن سير عمل خدمة طلب النقل بين المناطق. عقد أجتماع آخر للتاكيد على التعديلات المذكورة</t>
  </si>
  <si>
    <t xml:space="preserve">02 مارس: تم البدء بتطوير خدمات الـ MVP
31 مارس: عقد جلسة عرض توضيحي لخدمة الشكاوى مع فريق المديرية وسامي
13 أبريل: تم اكتمال تطوير البوابة وجهاز الخدمة الذاتية لخدمات المرحلة الأولى (MVP) ، مع انتظار جاهزية التكامل من طرف المديرية  ومشاركتها مع فريق الشركة
19 أبريل: عقد جلسة عرض توضيحي لخدمات MVP  مع فريق المديرية وسامي ومشاركة بعض التعديلات للشركة لتنفيذها </t>
  </si>
  <si>
    <t>مراجعة سير الأعمال المعتمدة للخدمات المطلوبة مع أصحاب المصلحة للتأكد من صحة المتطلبات قبل البدء بالتطوير</t>
  </si>
  <si>
    <t>21 أبريل: خلال الأجتماع الأسبوعي تم مناقشة ضرورة عقد أجتماع مع فريق المديرية لمراجعة سير الأعمال لجميع الخدمات قبل البدء بتنفيذها 
22 أبريل: تم الأجتماع مع الأدارات من فريق المديرية ومراجعة سير الأعمال لخدمات نطاق المشروع على أن يتم تعديلها ومشاركة وثيقة الأعمال المحدثة للمديرية للأعتماد والاتفاق على عقد اجتماع أسبوعي لمراجعة ومتابعة سير العمل لجميع الخدمات مع الدكتور نمر
والإدارات المعنية.</t>
  </si>
  <si>
    <t xml:space="preserve">20 يناير: تم تصعيد ضرورة توفير الصلاحيات وعقد اجتماع مع الفريق التقني في المديرية.
01 فبراير: تم توفير مهندس من قبل الشركة للعمل المباشر مع فريق البنية التحتية وتسريع تجهيز البيئات
02 مارس: تم البدء بتطوير خدمات الـ MVP
31 مارس: عقد جلسة عرض توضيحي لخدمة الشكاوى مع فريق المديرية وسامي
13 أبريل: تم اكتمال تطوير البوابة وجهاز الخدمة الذاتية لخدمات المرحلة الأولى (MVP) ، مع انتظار جاهزية التكامل من طرف المديرية  ومشاركتها مع فريق الشركة
19 أبريل: عقد جلسة عرض توضيحي لخدمات MVP  مع فريق المديرية وسامي ومشاركة بعض التعديلات للشركة لتنفيذها </t>
  </si>
  <si>
    <t xml:space="preserve">20 يناير: مناقشة تأخر مشاركة الحقول والنماذج وتأثيره على الجدول الزمني خلال الاجتماع الأسبوعي مع فريق سامي.
25 يناير: عقد اجتماع مع المساعد للعمليات لمناقشة تسليم النماذج وبيانات الـ Metadata وطلبات تعديل مسارات الإجراءات المعتمدة.
2 فبراير: اجتماع مع فريق المديرية لمناقشة التحديات والتأكيد على ضرورة مشاركة النماذج والحقول لخدمات الـ MVP.
3 فبراير: تم مشاركة واعتماد حقول خدمة الشكاوى والاقتراحات.
15 فبراير: تم البدء بتصميم واجهات النطام لخدمة الشكاوي والأقتراحات
2 مارس: تم البدء بتطوير خدمات الـ MVP
31 مارس: عقد جلسة عرض توضيحي لخدمة الشكاوى مع فريق المديرية وسامي
13 أبريل: تم اكتمال تطوير البوابة وجهاز الخدمة الذاتية لخدمات المرحلة الأولى (MVP) ، مع انتظار جاهزية التكامل من طرف المديرية  ومشاركتها مع فريق الشركة
19 أبريل: عقد جلسة عرض توضيحي لخدمات MVP  مع فريق المديرية وسامي ومشاركة بعض التعديلات للشركة لتنفيذها </t>
  </si>
  <si>
    <t>البدء من اختبارات المرحلة الأولى وقبول المستخدم (MVP)</t>
  </si>
  <si>
    <t>14 أبريل: تم البدء بأختبارات خدمات MVP</t>
  </si>
  <si>
    <t>إجراء تعديلات على سير الأعمال المعتمدة بعد تطويرها.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</si>
</sst>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C09]dd\-mmm\-yy;@"/>
    <numFmt numFmtId="166" formatCode="[$-409]d\-mmm\-yy;@"/>
    <numFmt numFmtId="167" formatCode="d/mm/yy;@"/>
    <numFmt numFmtId="168" formatCode="d/mm/yyyy;@"/>
  </numFmts>
  <fonts count="38">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name val="DejaVu Sans"/>
      <family val="2"/>
    </font>
    <font>
      <b/>
      <sz val="18"/>
      <color indexed="62"/>
      <name val="Cambria"/>
      <family val="2"/>
    </font>
    <font>
      <b/>
      <sz val="11"/>
      <color indexed="8"/>
      <name val="Calibri"/>
      <family val="2"/>
    </font>
    <font>
      <sz val="11"/>
      <color indexed="10"/>
      <name val="Calibri"/>
      <family val="2"/>
    </font>
    <font>
      <sz val="14"/>
      <color theme="1"/>
      <name val="Calibri"/>
      <family val="2"/>
      <scheme val="minor"/>
    </font>
    <font>
      <sz val="10"/>
      <color theme="1"/>
      <name val="Calibri"/>
      <family val="2"/>
      <scheme val="minor"/>
    </font>
    <font>
      <u/>
      <sz val="11"/>
      <color theme="1"/>
      <name val="Calibri"/>
      <family val="2"/>
      <scheme val="minor"/>
    </font>
    <font>
      <sz val="11"/>
      <name val="Calibri"/>
      <family val="2"/>
      <scheme val="minor"/>
    </font>
    <font>
      <sz val="8"/>
      <name val="Calibri"/>
      <family val="2"/>
      <scheme val="minor"/>
    </font>
    <font>
      <sz val="11"/>
      <color rgb="FF000000"/>
      <name val="Calibri"/>
      <family val="2"/>
      <scheme val="minor"/>
    </font>
    <font>
      <sz val="11"/>
      <color rgb="FF2D2D0E"/>
      <name val="Tajawal"/>
    </font>
    <font>
      <sz val="11"/>
      <color rgb="FF2D2D0E"/>
      <name val="Arial"/>
      <family val="2"/>
    </font>
    <font>
      <sz val="11"/>
      <color rgb="FF2D2D0E"/>
      <name val="Calibri"/>
      <family val="2"/>
    </font>
    <font>
      <sz val="11"/>
      <color rgb="FF2D2D0E"/>
      <name val="Calibri"/>
      <family val="2"/>
      <scheme val="minor"/>
    </font>
    <font>
      <sz val="11"/>
      <color theme="5" tint="-0.249977111117893"/>
      <name val="Calibri"/>
      <family val="2"/>
      <scheme val="minor"/>
    </font>
    <font>
      <b/>
      <sz val="10"/>
      <color theme="1"/>
      <name val="Calibri"/>
      <family val="2"/>
      <scheme val="minor"/>
    </font>
    <font>
      <b/>
      <sz val="14"/>
      <color theme="1"/>
      <name val="Calibri"/>
      <family val="2"/>
      <scheme val="minor"/>
    </font>
    <font>
      <b/>
      <sz val="11"/>
      <color rgb="FFFFFFFF"/>
      <name val="Calibri"/>
      <family val="2"/>
      <scheme val="minor"/>
    </font>
    <font>
      <sz val="11.5"/>
      <color theme="1"/>
      <name val="Sakkal Majalla"/>
    </font>
  </fonts>
  <fills count="25">
    <fill>
      <patternFill patternType="none"/>
    </fill>
    <fill>
      <patternFill patternType="gray125"/>
    </fill>
    <fill>
      <patternFill patternType="solid">
        <fgColor indexed="31"/>
        <bgColor indexed="22"/>
      </patternFill>
    </fill>
    <fill>
      <patternFill patternType="solid">
        <fgColor indexed="47"/>
        <bgColor indexed="31"/>
      </patternFill>
    </fill>
    <fill>
      <patternFill patternType="solid">
        <fgColor indexed="26"/>
        <bgColor indexed="9"/>
      </patternFill>
    </fill>
    <fill>
      <patternFill patternType="solid">
        <fgColor indexed="27"/>
        <bgColor indexed="41"/>
      </patternFill>
    </fill>
    <fill>
      <patternFill patternType="solid">
        <fgColor indexed="29"/>
        <bgColor indexed="45"/>
      </patternFill>
    </fill>
    <fill>
      <patternFill patternType="solid">
        <fgColor indexed="44"/>
        <bgColor indexed="22"/>
      </patternFill>
    </fill>
    <fill>
      <patternFill patternType="solid">
        <fgColor indexed="49"/>
        <bgColor indexed="40"/>
      </patternFill>
    </fill>
    <fill>
      <patternFill patternType="solid">
        <fgColor indexed="43"/>
        <bgColor indexed="13"/>
      </patternFill>
    </fill>
    <fill>
      <patternFill patternType="solid">
        <fgColor indexed="22"/>
        <bgColor indexed="31"/>
      </patternFill>
    </fill>
    <fill>
      <patternFill patternType="solid">
        <fgColor indexed="10"/>
        <bgColor indexed="60"/>
      </patternFill>
    </fill>
    <fill>
      <patternFill patternType="solid">
        <fgColor indexed="57"/>
        <bgColor indexed="21"/>
      </patternFill>
    </fill>
    <fill>
      <patternFill patternType="solid">
        <fgColor indexed="54"/>
        <bgColor indexed="19"/>
      </patternFill>
    </fill>
    <fill>
      <patternFill patternType="solid">
        <fgColor indexed="53"/>
        <bgColor indexed="52"/>
      </patternFill>
    </fill>
    <fill>
      <patternFill patternType="solid">
        <fgColor indexed="45"/>
        <bgColor indexed="29"/>
      </patternFill>
    </fill>
    <fill>
      <patternFill patternType="solid">
        <fgColor indexed="9"/>
        <bgColor indexed="26"/>
      </patternFill>
    </fill>
    <fill>
      <patternFill patternType="solid">
        <fgColor indexed="55"/>
        <bgColor indexed="23"/>
      </patternFill>
    </fill>
    <fill>
      <patternFill patternType="solid">
        <fgColor indexed="42"/>
        <bgColor indexed="27"/>
      </patternFill>
    </fill>
    <fill>
      <patternFill patternType="solid">
        <fgColor rgb="FFFFC000"/>
        <bgColor indexed="64"/>
      </patternFill>
    </fill>
    <fill>
      <patternFill patternType="solid">
        <fgColor theme="0"/>
        <bgColor indexed="64"/>
      </patternFill>
    </fill>
    <fill>
      <patternFill patternType="solid">
        <fgColor rgb="FF4472C4"/>
        <bgColor indexed="64"/>
      </patternFill>
    </fill>
    <fill>
      <patternFill patternType="solid">
        <fgColor rgb="FFC00000"/>
        <bgColor indexed="64"/>
      </patternFill>
    </fill>
    <fill>
      <patternFill patternType="solid">
        <fgColor rgb="FFED7D31"/>
        <bgColor indexed="64"/>
      </patternFill>
    </fill>
    <fill>
      <patternFill patternType="solid">
        <fgColor rgb="FF5B9BD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86">
    <xf numFmtId="0" fontId="0" fillId="0" borderId="0"/>
    <xf numFmtId="0" fontId="4"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2" borderId="0" applyNumberFormat="0" applyBorder="0" applyAlignment="0" applyProtection="0"/>
    <xf numFmtId="0" fontId="5" fillId="6"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7" borderId="0" applyNumberFormat="0" applyBorder="0" applyAlignment="0" applyProtection="0"/>
    <xf numFmtId="0" fontId="5" fillId="3"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8"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8" fillId="16" borderId="2" applyNumberFormat="0" applyAlignment="0" applyProtection="0"/>
    <xf numFmtId="0" fontId="9" fillId="17" borderId="3" applyNumberFormat="0" applyAlignment="0" applyProtection="0"/>
    <xf numFmtId="0" fontId="10" fillId="0" borderId="0" applyNumberFormat="0" applyFill="0" applyBorder="0" applyAlignment="0" applyProtection="0"/>
    <xf numFmtId="0" fontId="11" fillId="18" borderId="0" applyNumberFormat="0" applyBorder="0" applyAlignment="0" applyProtection="0"/>
    <xf numFmtId="0" fontId="12" fillId="0" borderId="4" applyNumberFormat="0" applyFill="0" applyAlignment="0" applyProtection="0"/>
    <xf numFmtId="0" fontId="13" fillId="0" borderId="5" applyNumberFormat="0" applyFill="0" applyAlignment="0" applyProtection="0"/>
    <xf numFmtId="0" fontId="14" fillId="0" borderId="6" applyNumberFormat="0" applyFill="0" applyAlignment="0" applyProtection="0"/>
    <xf numFmtId="0" fontId="14" fillId="0" borderId="0" applyNumberFormat="0" applyFill="0" applyBorder="0" applyAlignment="0" applyProtection="0"/>
    <xf numFmtId="0" fontId="15" fillId="3" borderId="2" applyNumberFormat="0" applyAlignment="0" applyProtection="0"/>
    <xf numFmtId="0" fontId="16" fillId="0" borderId="7" applyNumberFormat="0" applyFill="0" applyAlignment="0" applyProtection="0"/>
    <xf numFmtId="0" fontId="17" fillId="3" borderId="0" applyNumberFormat="0" applyBorder="0" applyAlignment="0" applyProtection="0"/>
    <xf numFmtId="0" fontId="4" fillId="4" borderId="8" applyNumberFormat="0" applyAlignment="0" applyProtection="0"/>
    <xf numFmtId="0" fontId="18" fillId="16" borderId="9" applyNumberFormat="0" applyAlignment="0" applyProtection="0"/>
    <xf numFmtId="0" fontId="19" fillId="2" borderId="0" applyNumberFormat="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0" borderId="0" applyNumberFormat="0" applyFill="0" applyBorder="0" applyAlignment="0" applyProtection="0"/>
    <xf numFmtId="0" fontId="5" fillId="2" borderId="0"/>
    <xf numFmtId="0" fontId="5" fillId="3" borderId="0"/>
    <xf numFmtId="0" fontId="5" fillId="4" borderId="0"/>
    <xf numFmtId="0" fontId="5" fillId="2" borderId="0"/>
    <xf numFmtId="0" fontId="5" fillId="5" borderId="0"/>
    <xf numFmtId="0" fontId="5" fillId="3" borderId="0"/>
    <xf numFmtId="0" fontId="5" fillId="2" borderId="0"/>
    <xf numFmtId="0" fontId="5" fillId="6" borderId="0"/>
    <xf numFmtId="0" fontId="5" fillId="4" borderId="0"/>
    <xf numFmtId="0" fontId="5" fillId="2" borderId="0"/>
    <xf numFmtId="0" fontId="5" fillId="7" borderId="0"/>
    <xf numFmtId="0" fontId="5" fillId="3" borderId="0"/>
    <xf numFmtId="0" fontId="6" fillId="8" borderId="0"/>
    <xf numFmtId="0" fontId="6" fillId="6" borderId="0"/>
    <xf numFmtId="0" fontId="6" fillId="9" borderId="0"/>
    <xf numFmtId="0" fontId="6" fillId="10" borderId="0"/>
    <xf numFmtId="0" fontId="6" fillId="8" borderId="0"/>
    <xf numFmtId="0" fontId="6" fillId="3" borderId="0"/>
    <xf numFmtId="0" fontId="6" fillId="8" borderId="0"/>
    <xf numFmtId="0" fontId="6" fillId="11" borderId="0"/>
    <xf numFmtId="0" fontId="6" fillId="12" borderId="0"/>
    <xf numFmtId="0" fontId="6" fillId="13" borderId="0"/>
    <xf numFmtId="0" fontId="6" fillId="8" borderId="0"/>
    <xf numFmtId="0" fontId="6" fillId="14" borderId="0"/>
    <xf numFmtId="0" fontId="7" fillId="15" borderId="0"/>
    <xf numFmtId="0" fontId="8" fillId="16" borderId="2"/>
    <xf numFmtId="0" fontId="9" fillId="17" borderId="3"/>
    <xf numFmtId="0" fontId="10" fillId="0" borderId="0"/>
    <xf numFmtId="0" fontId="11" fillId="18" borderId="0"/>
    <xf numFmtId="0" fontId="12" fillId="0" borderId="4"/>
    <xf numFmtId="0" fontId="13" fillId="0" borderId="5"/>
    <xf numFmtId="0" fontId="14" fillId="0" borderId="6"/>
    <xf numFmtId="0" fontId="14" fillId="0" borderId="0"/>
    <xf numFmtId="0" fontId="15" fillId="3" borderId="2"/>
    <xf numFmtId="0" fontId="16" fillId="0" borderId="7"/>
    <xf numFmtId="0" fontId="17" fillId="3" borderId="0"/>
    <xf numFmtId="0" fontId="4" fillId="4" borderId="8"/>
    <xf numFmtId="0" fontId="18" fillId="16" borderId="9"/>
    <xf numFmtId="0" fontId="19" fillId="2" borderId="0"/>
    <xf numFmtId="0" fontId="20" fillId="0" borderId="0"/>
    <xf numFmtId="0" fontId="21" fillId="0" borderId="10"/>
    <xf numFmtId="0" fontId="22" fillId="0" borderId="0"/>
  </cellStyleXfs>
  <cellXfs count="101">
    <xf numFmtId="0" fontId="0" fillId="0" borderId="0" xfId="0"/>
    <xf numFmtId="0" fontId="1" fillId="0" borderId="0" xfId="0" applyFont="1"/>
    <xf numFmtId="0" fontId="23" fillId="0" borderId="0" xfId="0" applyFont="1"/>
    <xf numFmtId="0" fontId="24" fillId="0" borderId="0" xfId="0" applyFont="1"/>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readingOrder="1"/>
    </xf>
    <xf numFmtId="0" fontId="0" fillId="0" borderId="1" xfId="0" applyBorder="1" applyAlignment="1">
      <alignment horizontal="center" vertical="center" wrapText="1" readingOrder="1"/>
    </xf>
    <xf numFmtId="0" fontId="0" fillId="0" borderId="0" xfId="0" applyAlignment="1">
      <alignment horizontal="center" vertical="center" readingOrder="1"/>
    </xf>
    <xf numFmtId="166" fontId="0" fillId="0" borderId="1" xfId="0" applyNumberFormat="1" applyBorder="1" applyAlignment="1">
      <alignment horizontal="center" vertical="center" wrapText="1"/>
    </xf>
    <xf numFmtId="166" fontId="0" fillId="0" borderId="0" xfId="0" applyNumberFormat="1" applyAlignment="1">
      <alignment horizontal="center" vertical="center"/>
    </xf>
    <xf numFmtId="0" fontId="24" fillId="19" borderId="1" xfId="0" applyFont="1" applyFill="1" applyBorder="1"/>
    <xf numFmtId="0" fontId="24" fillId="20" borderId="1" xfId="0" applyFont="1" applyFill="1" applyBorder="1" applyAlignment="1">
      <alignment horizontal="left"/>
    </xf>
    <xf numFmtId="164" fontId="24" fillId="20" borderId="1" xfId="0" applyNumberFormat="1" applyFont="1" applyFill="1" applyBorder="1" applyAlignment="1">
      <alignment horizontal="left"/>
    </xf>
    <xf numFmtId="15" fontId="24" fillId="20" borderId="1" xfId="0" applyNumberFormat="1" applyFont="1" applyFill="1" applyBorder="1" applyAlignment="1">
      <alignment horizontal="left"/>
    </xf>
    <xf numFmtId="15" fontId="0" fillId="0" borderId="1" xfId="0" applyNumberFormat="1" applyBorder="1" applyAlignment="1">
      <alignment horizontal="center" vertical="center" wrapText="1" readingOrder="1"/>
    </xf>
    <xf numFmtId="0" fontId="0" fillId="0" borderId="0" xfId="0" applyAlignment="1">
      <alignment vertical="center" wrapText="1"/>
    </xf>
    <xf numFmtId="0" fontId="0" fillId="0" borderId="1" xfId="0" applyBorder="1" applyAlignment="1">
      <alignment horizontal="left" vertical="center"/>
    </xf>
    <xf numFmtId="0" fontId="0" fillId="0" borderId="1" xfId="0" applyBorder="1" applyAlignment="1">
      <alignment horizontal="left"/>
    </xf>
    <xf numFmtId="0" fontId="0" fillId="0" borderId="0" xfId="0" applyAlignment="1">
      <alignment horizontal="left"/>
    </xf>
    <xf numFmtId="0" fontId="0" fillId="0" borderId="1" xfId="0" applyBorder="1" applyAlignment="1">
      <alignment vertical="center"/>
    </xf>
    <xf numFmtId="15" fontId="0" fillId="0" borderId="1" xfId="0" applyNumberFormat="1" applyBorder="1" applyAlignment="1">
      <alignment horizontal="center" vertical="center"/>
    </xf>
    <xf numFmtId="15" fontId="0" fillId="0" borderId="1" xfId="0" applyNumberFormat="1" applyBorder="1" applyAlignment="1">
      <alignment vertical="center"/>
    </xf>
    <xf numFmtId="0" fontId="0" fillId="0" borderId="1" xfId="0" applyBorder="1"/>
    <xf numFmtId="14" fontId="0" fillId="0" borderId="1" xfId="0" applyNumberFormat="1" applyBorder="1" applyAlignment="1">
      <alignment horizontal="center" vertical="center"/>
    </xf>
    <xf numFmtId="0" fontId="0" fillId="0" borderId="1" xfId="0" applyBorder="1" applyAlignment="1">
      <alignment horizontal="left" vertical="center" wrapText="1" indent="1"/>
    </xf>
    <xf numFmtId="14" fontId="0" fillId="0" borderId="0" xfId="0" applyNumberFormat="1"/>
    <xf numFmtId="14" fontId="0" fillId="0" borderId="1" xfId="0" applyNumberFormat="1" applyBorder="1" applyAlignment="1">
      <alignment horizontal="center" vertical="center" wrapText="1" readingOrder="1"/>
    </xf>
    <xf numFmtId="0" fontId="0" fillId="0" borderId="1" xfId="0" applyBorder="1" applyAlignment="1">
      <alignment horizontal="right" vertical="center" wrapText="1" readingOrder="2"/>
    </xf>
    <xf numFmtId="0" fontId="0" fillId="0" borderId="0" xfId="0" applyAlignment="1">
      <alignment horizontal="right" vertical="center"/>
    </xf>
    <xf numFmtId="0" fontId="0" fillId="0" borderId="1" xfId="0" applyBorder="1" applyAlignment="1">
      <alignment horizontal="right" vertical="center" wrapText="1"/>
    </xf>
    <xf numFmtId="167" fontId="28" fillId="0" borderId="0" xfId="0" applyNumberFormat="1" applyFont="1" applyAlignment="1">
      <alignment horizontal="right" vertical="center"/>
    </xf>
    <xf numFmtId="0" fontId="28" fillId="0" borderId="1" xfId="0" applyFont="1" applyBorder="1" applyAlignment="1">
      <alignment vertical="center" wrapText="1"/>
    </xf>
    <xf numFmtId="0" fontId="31" fillId="0" borderId="1" xfId="0" applyFont="1" applyBorder="1" applyAlignment="1">
      <alignment horizontal="right" vertical="center" wrapText="1"/>
    </xf>
    <xf numFmtId="0" fontId="1" fillId="0" borderId="1" xfId="0" applyFont="1" applyBorder="1" applyAlignment="1">
      <alignment vertical="center"/>
    </xf>
    <xf numFmtId="0" fontId="0" fillId="0" borderId="1" xfId="0" applyBorder="1" applyAlignment="1">
      <alignment horizontal="center" vertical="center" wrapText="1" readingOrder="2"/>
    </xf>
    <xf numFmtId="0" fontId="0" fillId="0" borderId="1" xfId="0" applyBorder="1" applyAlignment="1">
      <alignment horizontal="right" vertical="center" wrapText="1" readingOrder="1"/>
    </xf>
    <xf numFmtId="0" fontId="0" fillId="0" borderId="0" xfId="0" applyAlignment="1">
      <alignment horizontal="right" vertical="center" wrapText="1" readingOrder="1"/>
    </xf>
    <xf numFmtId="0" fontId="28" fillId="0" borderId="0" xfId="0" applyFont="1" applyAlignment="1">
      <alignment horizontal="right" vertical="center" wrapText="1"/>
    </xf>
    <xf numFmtId="0" fontId="28" fillId="0" borderId="0" xfId="0" applyFont="1" applyAlignment="1">
      <alignment horizontal="right" vertical="center"/>
    </xf>
    <xf numFmtId="1" fontId="0" fillId="0" borderId="1" xfId="0" applyNumberFormat="1" applyBorder="1" applyAlignment="1">
      <alignment horizontal="right" vertical="center" wrapText="1"/>
    </xf>
    <xf numFmtId="168" fontId="0" fillId="0" borderId="1" xfId="0" applyNumberFormat="1" applyBorder="1" applyAlignment="1">
      <alignment horizontal="right" vertical="center" wrapText="1" readingOrder="1"/>
    </xf>
    <xf numFmtId="14" fontId="0" fillId="0" borderId="1" xfId="0" applyNumberFormat="1" applyBorder="1" applyAlignment="1">
      <alignment horizontal="right" vertical="center" wrapText="1"/>
    </xf>
    <xf numFmtId="0" fontId="0" fillId="0" borderId="1" xfId="0" applyBorder="1" applyAlignment="1">
      <alignment horizontal="right" vertical="center"/>
    </xf>
    <xf numFmtId="165" fontId="0" fillId="0" borderId="1" xfId="0" applyNumberFormat="1" applyBorder="1" applyAlignment="1">
      <alignment horizontal="right" vertical="center" wrapText="1"/>
    </xf>
    <xf numFmtId="49" fontId="0" fillId="0" borderId="1" xfId="0" applyNumberFormat="1" applyBorder="1" applyAlignment="1">
      <alignment horizontal="right" vertical="center" wrapText="1"/>
    </xf>
    <xf numFmtId="0" fontId="32" fillId="0" borderId="1" xfId="0" applyFont="1" applyBorder="1" applyAlignment="1">
      <alignment horizontal="right" vertical="center" wrapText="1"/>
    </xf>
    <xf numFmtId="14" fontId="0" fillId="0" borderId="1" xfId="0" applyNumberFormat="1" applyBorder="1" applyAlignment="1">
      <alignment horizontal="right" vertical="center" wrapText="1" readingOrder="1"/>
    </xf>
    <xf numFmtId="49" fontId="0" fillId="0" borderId="1" xfId="0" applyNumberFormat="1" applyBorder="1" applyAlignment="1">
      <alignment horizontal="right" vertical="center"/>
    </xf>
    <xf numFmtId="14" fontId="0" fillId="0" borderId="1" xfId="0" applyNumberFormat="1" applyBorder="1" applyAlignment="1">
      <alignment horizontal="right" vertical="center"/>
    </xf>
    <xf numFmtId="49" fontId="0" fillId="0" borderId="1" xfId="0" applyNumberFormat="1" applyBorder="1" applyAlignment="1">
      <alignment horizontal="right" vertical="center" wrapText="1" readingOrder="1"/>
    </xf>
    <xf numFmtId="167" fontId="0" fillId="0" borderId="1" xfId="0" applyNumberFormat="1" applyBorder="1" applyAlignment="1">
      <alignment horizontal="right" vertical="center" wrapText="1" readingOrder="1"/>
    </xf>
    <xf numFmtId="0" fontId="0" fillId="0" borderId="0" xfId="0" applyAlignment="1">
      <alignment horizontal="right" vertical="center" readingOrder="1"/>
    </xf>
    <xf numFmtId="167" fontId="0" fillId="0" borderId="0" xfId="0" applyNumberFormat="1" applyAlignment="1">
      <alignment horizontal="right" vertical="center" wrapText="1" readingOrder="1"/>
    </xf>
    <xf numFmtId="14" fontId="0" fillId="0" borderId="0" xfId="0" applyNumberFormat="1" applyAlignment="1">
      <alignment horizontal="right" vertical="center"/>
    </xf>
    <xf numFmtId="49" fontId="0" fillId="0" borderId="0" xfId="0" applyNumberFormat="1" applyAlignment="1">
      <alignment horizontal="right" vertical="center"/>
    </xf>
    <xf numFmtId="165" fontId="0" fillId="0" borderId="0" xfId="0" applyNumberFormat="1" applyAlignment="1">
      <alignment horizontal="right" vertical="center"/>
    </xf>
    <xf numFmtId="167" fontId="0" fillId="0" borderId="0" xfId="0" applyNumberFormat="1" applyAlignment="1">
      <alignment horizontal="right" vertical="center"/>
    </xf>
    <xf numFmtId="0" fontId="0" fillId="20" borderId="1" xfId="0" applyFill="1" applyBorder="1" applyAlignment="1">
      <alignment horizontal="center" vertical="center" wrapText="1"/>
    </xf>
    <xf numFmtId="0" fontId="28" fillId="0" borderId="1" xfId="0" applyFont="1" applyBorder="1" applyAlignment="1">
      <alignment horizontal="center" vertical="center" wrapText="1" readingOrder="2"/>
    </xf>
    <xf numFmtId="0" fontId="28" fillId="0" borderId="1" xfId="0" applyFont="1" applyBorder="1" applyAlignment="1">
      <alignment horizontal="center" vertical="center" readingOrder="2"/>
    </xf>
    <xf numFmtId="0" fontId="1" fillId="0" borderId="1" xfId="0" applyFont="1" applyBorder="1" applyAlignment="1">
      <alignment horizontal="center" vertical="center" wrapText="1" readingOrder="1"/>
    </xf>
    <xf numFmtId="0" fontId="0" fillId="0" borderId="0" xfId="0" applyAlignment="1">
      <alignment wrapText="1" readingOrder="2"/>
    </xf>
    <xf numFmtId="0" fontId="33" fillId="0" borderId="1" xfId="0" applyFont="1" applyBorder="1" applyAlignment="1">
      <alignment horizontal="right" vertical="center" wrapText="1"/>
    </xf>
    <xf numFmtId="0" fontId="33" fillId="0" borderId="1" xfId="0" applyFont="1" applyBorder="1" applyAlignment="1">
      <alignment vertical="center"/>
    </xf>
    <xf numFmtId="0" fontId="33" fillId="0" borderId="1" xfId="0" applyFont="1" applyBorder="1" applyAlignment="1">
      <alignment vertical="center" wrapText="1"/>
    </xf>
    <xf numFmtId="0" fontId="35" fillId="0" borderId="0" xfId="0" applyFont="1"/>
    <xf numFmtId="0" fontId="36" fillId="21" borderId="12" xfId="0" applyFont="1" applyFill="1" applyBorder="1" applyAlignment="1">
      <alignment horizontal="center" vertical="center" wrapText="1" readingOrder="1"/>
    </xf>
    <xf numFmtId="0" fontId="0" fillId="0" borderId="0" xfId="0" applyAlignment="1">
      <alignment horizontal="center"/>
    </xf>
    <xf numFmtId="1" fontId="0" fillId="0" borderId="0" xfId="0" applyNumberFormat="1" applyAlignment="1">
      <alignment horizontal="center" vertical="center"/>
    </xf>
    <xf numFmtId="1" fontId="0" fillId="0" borderId="0" xfId="0" applyNumberFormat="1" applyAlignment="1">
      <alignment horizontal="center"/>
    </xf>
    <xf numFmtId="0" fontId="36" fillId="22" borderId="1" xfId="0" applyFont="1" applyFill="1" applyBorder="1" applyAlignment="1">
      <alignment horizontal="center" vertical="center" wrapText="1" readingOrder="1"/>
    </xf>
    <xf numFmtId="1" fontId="0" fillId="0" borderId="1" xfId="0" applyNumberFormat="1" applyBorder="1" applyAlignment="1">
      <alignment horizontal="center" vertical="center" wrapText="1" readingOrder="1"/>
    </xf>
    <xf numFmtId="0" fontId="36" fillId="23" borderId="0" xfId="0" applyFont="1" applyFill="1" applyAlignment="1">
      <alignment horizontal="center" vertical="center"/>
    </xf>
    <xf numFmtId="0" fontId="36" fillId="24" borderId="0" xfId="0" applyFont="1" applyFill="1" applyAlignment="1">
      <alignment horizontal="center" vertical="center"/>
    </xf>
    <xf numFmtId="0" fontId="0" fillId="0" borderId="0" xfId="0" applyAlignment="1">
      <alignment horizontal="center" vertical="center" wrapText="1" readingOrder="1"/>
    </xf>
    <xf numFmtId="0" fontId="36" fillId="21" borderId="1" xfId="0" applyFont="1" applyFill="1" applyBorder="1" applyAlignment="1">
      <alignment horizontal="center" vertical="center" wrapText="1" readingOrder="1"/>
    </xf>
    <xf numFmtId="0" fontId="36" fillId="21" borderId="1" xfId="0" applyFont="1" applyFill="1" applyBorder="1" applyAlignment="1">
      <alignment horizontal="left" vertical="center" wrapText="1" readingOrder="1"/>
    </xf>
    <xf numFmtId="14" fontId="36" fillId="21" borderId="1" xfId="0" applyNumberFormat="1" applyFont="1" applyFill="1" applyBorder="1" applyAlignment="1">
      <alignment horizontal="center" vertical="center" wrapText="1" readingOrder="1"/>
    </xf>
    <xf numFmtId="0" fontId="36" fillId="23" borderId="1" xfId="0" applyFont="1" applyFill="1" applyBorder="1" applyAlignment="1">
      <alignment horizontal="center" vertical="center" readingOrder="1"/>
    </xf>
    <xf numFmtId="0" fontId="36" fillId="23" borderId="1" xfId="0" applyFont="1" applyFill="1" applyBorder="1" applyAlignment="1">
      <alignment horizontal="center" vertical="center" wrapText="1" readingOrder="1"/>
    </xf>
    <xf numFmtId="166" fontId="36" fillId="23" borderId="1" xfId="0" applyNumberFormat="1" applyFont="1" applyFill="1" applyBorder="1" applyAlignment="1">
      <alignment horizontal="center" vertical="center" wrapText="1" readingOrder="1"/>
    </xf>
    <xf numFmtId="0" fontId="36" fillId="24" borderId="11" xfId="0" applyFont="1" applyFill="1" applyBorder="1" applyAlignment="1">
      <alignment horizontal="right" vertical="center" wrapText="1" readingOrder="1"/>
    </xf>
    <xf numFmtId="167" fontId="36" fillId="24" borderId="11" xfId="0" applyNumberFormat="1" applyFont="1" applyFill="1" applyBorder="1" applyAlignment="1">
      <alignment horizontal="right" vertical="center" wrapText="1" readingOrder="1"/>
    </xf>
    <xf numFmtId="165" fontId="36" fillId="24" borderId="11" xfId="0" applyNumberFormat="1" applyFont="1" applyFill="1" applyBorder="1" applyAlignment="1">
      <alignment horizontal="right" vertical="center" wrapText="1" readingOrder="1"/>
    </xf>
    <xf numFmtId="14" fontId="36" fillId="24" borderId="11" xfId="0" applyNumberFormat="1" applyFont="1" applyFill="1" applyBorder="1" applyAlignment="1">
      <alignment horizontal="right" vertical="center" wrapText="1" readingOrder="1"/>
    </xf>
    <xf numFmtId="49" fontId="36" fillId="24" borderId="11" xfId="0" applyNumberFormat="1" applyFont="1" applyFill="1" applyBorder="1" applyAlignment="1">
      <alignment horizontal="right" vertical="center" wrapText="1" readingOrder="1"/>
    </xf>
    <xf numFmtId="0" fontId="25" fillId="0" borderId="0" xfId="0" applyFont="1" applyAlignment="1">
      <alignment horizontal="left" wrapText="1"/>
    </xf>
    <xf numFmtId="0" fontId="0" fillId="0" borderId="1" xfId="0" applyBorder="1" applyAlignment="1">
      <alignment horizontal="center" vertical="center" readingOrder="1"/>
    </xf>
    <xf numFmtId="0" fontId="36" fillId="21" borderId="1" xfId="0" applyFont="1" applyFill="1" applyBorder="1"/>
    <xf numFmtId="0" fontId="1" fillId="0" borderId="1" xfId="0" applyFont="1" applyBorder="1"/>
    <xf numFmtId="0" fontId="34" fillId="0" borderId="1" xfId="0" applyFont="1" applyBorder="1"/>
    <xf numFmtId="0" fontId="36" fillId="23" borderId="1" xfId="0" applyFont="1" applyFill="1" applyBorder="1"/>
    <xf numFmtId="0" fontId="36" fillId="24" borderId="1" xfId="0" applyFont="1" applyFill="1" applyBorder="1"/>
    <xf numFmtId="0" fontId="36" fillId="22" borderId="1" xfId="0" applyFont="1" applyFill="1" applyBorder="1"/>
    <xf numFmtId="0" fontId="24" fillId="0" borderId="1" xfId="0" applyFont="1" applyBorder="1" applyAlignment="1">
      <alignment horizontal="left"/>
    </xf>
    <xf numFmtId="0" fontId="23" fillId="0" borderId="0" xfId="0" applyFont="1" applyAlignment="1">
      <alignment horizontal="left"/>
    </xf>
    <xf numFmtId="0" fontId="26" fillId="0" borderId="1" xfId="0" applyFont="1" applyBorder="1"/>
  </cellXfs>
  <cellStyles count="86">
    <cellStyle name="20% - Accent1 2" xfId="2" xr:uid="{00000000-0005-0000-0000-000000000000}"/>
    <cellStyle name="20% - Accent1 2 2" xfId="44" xr:uid="{7BA791D4-BC29-4B8F-A7CF-0279EF782906}"/>
    <cellStyle name="20% - Accent2 2" xfId="3" xr:uid="{00000000-0005-0000-0000-000001000000}"/>
    <cellStyle name="20% - Accent2 2 2" xfId="45" xr:uid="{93E4D0D8-0FB0-471E-85AC-8414D0D72B6F}"/>
    <cellStyle name="20% - Accent3 2" xfId="4" xr:uid="{00000000-0005-0000-0000-000002000000}"/>
    <cellStyle name="20% - Accent3 2 2" xfId="46" xr:uid="{610D3875-39C3-4D3D-86A5-9D4C08B1AF72}"/>
    <cellStyle name="20% - Accent4 2" xfId="5" xr:uid="{00000000-0005-0000-0000-000003000000}"/>
    <cellStyle name="20% - Accent4 2 2" xfId="47" xr:uid="{9BA3FD0E-A5BF-4F0F-8D16-9AC84BB22E61}"/>
    <cellStyle name="20% - Accent5 2" xfId="6" xr:uid="{00000000-0005-0000-0000-000004000000}"/>
    <cellStyle name="20% - Accent5 2 2" xfId="48" xr:uid="{E8F34125-9939-4A08-91C7-519242114394}"/>
    <cellStyle name="20% - Accent6 2" xfId="7" xr:uid="{00000000-0005-0000-0000-000005000000}"/>
    <cellStyle name="20% - Accent6 2 2" xfId="49" xr:uid="{08A6E5BF-6CDF-412A-B161-DC1B93047148}"/>
    <cellStyle name="40% - Accent1 2" xfId="8" xr:uid="{00000000-0005-0000-0000-000006000000}"/>
    <cellStyle name="40% - Accent1 2 2" xfId="50" xr:uid="{71243A68-7FB2-4CF8-9BB2-52533FF40A0E}"/>
    <cellStyle name="40% - Accent2 2" xfId="9" xr:uid="{00000000-0005-0000-0000-000007000000}"/>
    <cellStyle name="40% - Accent2 2 2" xfId="51" xr:uid="{55A666A0-7F2F-4345-9DCF-A1F0208F7AA5}"/>
    <cellStyle name="40% - Accent3 2" xfId="10" xr:uid="{00000000-0005-0000-0000-000008000000}"/>
    <cellStyle name="40% - Accent3 2 2" xfId="52" xr:uid="{0AB285D8-2ED1-4140-9750-7E015D7E9325}"/>
    <cellStyle name="40% - Accent4 2" xfId="11" xr:uid="{00000000-0005-0000-0000-000009000000}"/>
    <cellStyle name="40% - Accent4 2 2" xfId="53" xr:uid="{D68A37AD-13D5-4297-89C0-C70153B9B6FE}"/>
    <cellStyle name="40% - Accent5 2" xfId="12" xr:uid="{00000000-0005-0000-0000-00000A000000}"/>
    <cellStyle name="40% - Accent5 2 2" xfId="54" xr:uid="{3449AD00-7E01-451D-B2AE-67EB2628740D}"/>
    <cellStyle name="40% - Accent6 2" xfId="13" xr:uid="{00000000-0005-0000-0000-00000B000000}"/>
    <cellStyle name="40% - Accent6 2 2" xfId="55" xr:uid="{2E97E696-90BA-4472-AADC-4DA3367E240C}"/>
    <cellStyle name="60% - Accent1 2" xfId="14" xr:uid="{00000000-0005-0000-0000-00000C000000}"/>
    <cellStyle name="60% - Accent1 2 2" xfId="56" xr:uid="{0B198D67-564C-43C9-8D24-3D61DB349859}"/>
    <cellStyle name="60% - Accent2 2" xfId="15" xr:uid="{00000000-0005-0000-0000-00000D000000}"/>
    <cellStyle name="60% - Accent2 2 2" xfId="57" xr:uid="{4020422A-C868-4E9F-AC77-C4C18AB29242}"/>
    <cellStyle name="60% - Accent3 2" xfId="16" xr:uid="{00000000-0005-0000-0000-00000E000000}"/>
    <cellStyle name="60% - Accent3 2 2" xfId="58" xr:uid="{6BF3C5A9-A6C9-488C-A50D-92312DEF62E2}"/>
    <cellStyle name="60% - Accent4 2" xfId="17" xr:uid="{00000000-0005-0000-0000-00000F000000}"/>
    <cellStyle name="60% - Accent4 2 2" xfId="59" xr:uid="{7720F06C-DBF8-4B75-A8BB-2A55D36D8646}"/>
    <cellStyle name="60% - Accent5 2" xfId="18" xr:uid="{00000000-0005-0000-0000-000010000000}"/>
    <cellStyle name="60% - Accent5 2 2" xfId="60" xr:uid="{2D46080B-8DBE-4A95-8D66-52E982818D1A}"/>
    <cellStyle name="60% - Accent6 2" xfId="19" xr:uid="{00000000-0005-0000-0000-000011000000}"/>
    <cellStyle name="60% - Accent6 2 2" xfId="61" xr:uid="{1205CB28-0487-4C73-96E8-B9B5897144E8}"/>
    <cellStyle name="Accent1 2" xfId="20" xr:uid="{00000000-0005-0000-0000-000012000000}"/>
    <cellStyle name="Accent1 2 2" xfId="62" xr:uid="{C1AB1A3F-86A8-4EB3-BEFA-EE6D4C07E63E}"/>
    <cellStyle name="Accent2 2" xfId="21" xr:uid="{00000000-0005-0000-0000-000013000000}"/>
    <cellStyle name="Accent2 2 2" xfId="63" xr:uid="{6DD02B5B-7CC9-4B19-8F8A-A046B8323649}"/>
    <cellStyle name="Accent3 2" xfId="22" xr:uid="{00000000-0005-0000-0000-000014000000}"/>
    <cellStyle name="Accent3 2 2" xfId="64" xr:uid="{5EAB3EF2-C19A-4C42-B289-3AF081F5A88C}"/>
    <cellStyle name="Accent4 2" xfId="23" xr:uid="{00000000-0005-0000-0000-000015000000}"/>
    <cellStyle name="Accent4 2 2" xfId="65" xr:uid="{5461CACE-3746-4F6B-B5A5-90F0192DA785}"/>
    <cellStyle name="Accent5 2" xfId="24" xr:uid="{00000000-0005-0000-0000-000016000000}"/>
    <cellStyle name="Accent5 2 2" xfId="66" xr:uid="{076F849A-0FC2-4CAF-98B0-91115A98B769}"/>
    <cellStyle name="Accent6 2" xfId="25" xr:uid="{00000000-0005-0000-0000-000017000000}"/>
    <cellStyle name="Accent6 2 2" xfId="67" xr:uid="{0986436F-3CF4-41B0-B662-0C06F98B2A58}"/>
    <cellStyle name="Bad 2" xfId="26" xr:uid="{00000000-0005-0000-0000-000018000000}"/>
    <cellStyle name="Bad 2 2" xfId="68" xr:uid="{C8AEF6BC-9BF2-40AA-8333-82972A1B0CCD}"/>
    <cellStyle name="Calculation 2" xfId="27" xr:uid="{00000000-0005-0000-0000-000019000000}"/>
    <cellStyle name="Calculation 2 2" xfId="69" xr:uid="{C79B7F3E-9C71-4248-90F8-B77EB46CA424}"/>
    <cellStyle name="Check Cell 2" xfId="28" xr:uid="{00000000-0005-0000-0000-00001A000000}"/>
    <cellStyle name="Check Cell 2 2" xfId="70" xr:uid="{359AE0B6-7C06-4259-AA8A-D0E3C95D895B}"/>
    <cellStyle name="Explanatory Text 2" xfId="29" xr:uid="{00000000-0005-0000-0000-00001B000000}"/>
    <cellStyle name="Explanatory Text 2 2" xfId="71" xr:uid="{55EAF425-F729-4063-A5C6-0F20045755A9}"/>
    <cellStyle name="Good 2" xfId="30" xr:uid="{00000000-0005-0000-0000-00001C000000}"/>
    <cellStyle name="Good 2 2" xfId="72" xr:uid="{58B712E1-9733-4798-9DE2-FBADC668A4C1}"/>
    <cellStyle name="Heading 1 2" xfId="31" xr:uid="{00000000-0005-0000-0000-00001D000000}"/>
    <cellStyle name="Heading 1 2 2" xfId="73" xr:uid="{E6922327-6EA3-436F-80A3-4FF55DA184D4}"/>
    <cellStyle name="Heading 2 2" xfId="32" xr:uid="{00000000-0005-0000-0000-00001E000000}"/>
    <cellStyle name="Heading 2 2 2" xfId="74" xr:uid="{4C5A22A6-B157-4B84-90CD-648A55A8D184}"/>
    <cellStyle name="Heading 3 2" xfId="33" xr:uid="{00000000-0005-0000-0000-00001F000000}"/>
    <cellStyle name="Heading 3 2 2" xfId="75" xr:uid="{4CEF0DE5-A4D9-4C84-A2BD-8EED04F053BD}"/>
    <cellStyle name="Heading 4 2" xfId="34" xr:uid="{00000000-0005-0000-0000-000020000000}"/>
    <cellStyle name="Heading 4 2 2" xfId="76" xr:uid="{E62EFC0F-98FD-4357-997B-28C83FF0D545}"/>
    <cellStyle name="Input 2" xfId="35" xr:uid="{00000000-0005-0000-0000-000021000000}"/>
    <cellStyle name="Input 2 2" xfId="77" xr:uid="{5AD6BAF1-99E8-4742-A092-72B252680733}"/>
    <cellStyle name="Linked Cell 2" xfId="36" xr:uid="{00000000-0005-0000-0000-000022000000}"/>
    <cellStyle name="Linked Cell 2 2" xfId="78" xr:uid="{C06CFC06-62D9-448D-9BCD-4AF458728E87}"/>
    <cellStyle name="Neutral 2" xfId="37" xr:uid="{00000000-0005-0000-0000-000023000000}"/>
    <cellStyle name="Neutral 2 2" xfId="79" xr:uid="{AEEFFD82-36D4-447B-A536-B2D498B22639}"/>
    <cellStyle name="Normal" xfId="0" builtinId="0"/>
    <cellStyle name="Normal 2" xfId="1" xr:uid="{00000000-0005-0000-0000-000025000000}"/>
    <cellStyle name="Note 2" xfId="38" xr:uid="{00000000-0005-0000-0000-000026000000}"/>
    <cellStyle name="Note 2 2" xfId="80" xr:uid="{91B02975-7E43-4C32-AE8E-4ED4B6242CA8}"/>
    <cellStyle name="Output 2" xfId="39" xr:uid="{00000000-0005-0000-0000-000027000000}"/>
    <cellStyle name="Output 2 2" xfId="81" xr:uid="{D439CAA9-C372-4DA9-884F-28DE4AB69FCF}"/>
    <cellStyle name="Style 2" xfId="40" xr:uid="{00000000-0005-0000-0000-000028000000}"/>
    <cellStyle name="Style 2 2" xfId="82" xr:uid="{4BA6305C-146A-4CF1-B168-333619C79F17}"/>
    <cellStyle name="Title 2" xfId="41" xr:uid="{00000000-0005-0000-0000-000029000000}"/>
    <cellStyle name="Title 2 2" xfId="83" xr:uid="{3CBAD9C5-07F6-495D-87EA-93187CDAEED5}"/>
    <cellStyle name="Total 2" xfId="42" xr:uid="{00000000-0005-0000-0000-00002A000000}"/>
    <cellStyle name="Total 2 2" xfId="84" xr:uid="{0FCE8124-7CEB-4DD7-B487-1692978E2B74}"/>
    <cellStyle name="Warning Text 2" xfId="43" xr:uid="{00000000-0005-0000-0000-00002B000000}"/>
    <cellStyle name="Warning Text 2 2" xfId="85" xr:uid="{F6E3E407-8E0F-42F5-B9AF-EE8276A0CB64}"/>
  </cellStyles>
  <dxfs count="42">
    <dxf>
      <font>
        <color rgb="FF9C0006"/>
      </font>
      <fill>
        <patternFill patternType="solid">
          <fgColor indexed="64"/>
          <bgColor rgb="FFFFC7CE"/>
        </patternFill>
      </fill>
    </dxf>
    <dxf>
      <font>
        <color rgb="FFFFFFFF"/>
      </font>
      <fill>
        <patternFill patternType="solid">
          <fgColor indexed="64"/>
          <bgColor rgb="FFC00000"/>
        </patternFill>
      </fill>
    </dxf>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rgb="FFFF0000"/>
        </patternFill>
      </fill>
    </dxf>
    <dxf>
      <fill>
        <patternFill>
          <bgColor rgb="FF00B050"/>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C00000"/>
        </patternFill>
      </fill>
    </dxf>
    <dxf>
      <font>
        <color rgb="FF006100"/>
      </font>
      <fill>
        <patternFill patternType="solid">
          <fgColor indexed="64"/>
          <bgColor rgb="FFC6EFCE"/>
        </patternFill>
      </fill>
    </dxf>
    <dxf>
      <font>
        <color rgb="FFFFFFFF"/>
      </font>
      <fill>
        <patternFill patternType="solid">
          <fgColor indexed="64"/>
          <bgColor rgb="FFC00000"/>
        </patternFill>
      </fill>
    </dxf>
    <dxf>
      <font>
        <color rgb="FF9C0006"/>
      </font>
      <fill>
        <patternFill patternType="solid">
          <fgColor indexed="64"/>
          <bgColor rgb="FFFFC7CE"/>
        </patternFill>
      </fill>
    </dxf>
    <dxf>
      <fill>
        <patternFill>
          <bgColor rgb="FFFFC000"/>
        </patternFill>
      </fill>
    </dxf>
    <dxf>
      <fill>
        <patternFill>
          <bgColor rgb="FF00B050"/>
        </patternFill>
      </fill>
    </dxf>
    <dxf>
      <fill>
        <patternFill>
          <bgColor rgb="FFFF0000"/>
        </patternFill>
      </fill>
    </dxf>
    <dxf>
      <font>
        <color rgb="FF9C0006"/>
      </font>
      <fill>
        <patternFill patternType="solid">
          <fgColor indexed="64"/>
          <bgColor rgb="FFFFC7CE"/>
        </patternFill>
      </fill>
    </dxf>
    <dxf>
      <font>
        <color rgb="FF006100"/>
      </font>
      <fill>
        <patternFill patternType="solid">
          <fgColor indexed="64"/>
          <bgColor rgb="FFC6EFCE"/>
        </patternFill>
      </fill>
    </dxf>
    <dxf>
      <fill>
        <patternFill>
          <bgColor rgb="FFFFC000"/>
        </patternFill>
      </fill>
    </dxf>
    <dxf>
      <fill>
        <patternFill>
          <bgColor rgb="FF00B0F0"/>
        </patternFill>
      </fill>
    </dxf>
    <dxf>
      <fill>
        <patternFill>
          <bgColor rgb="FFFF0000"/>
        </patternFill>
      </fill>
    </dxf>
    <dxf>
      <fill>
        <patternFill>
          <bgColor rgb="FF00B05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00B050"/>
        </patternFill>
      </fill>
    </dxf>
    <dxf>
      <fill>
        <patternFill>
          <bgColor theme="2" tint="-0.24994659260841701"/>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00B050"/>
        </patternFill>
      </fill>
    </dxf>
    <dxf>
      <fill>
        <patternFill>
          <bgColor theme="2" tint="-0.24994659260841701"/>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00B050"/>
        </patternFill>
      </fill>
    </dxf>
    <dxf>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ocumenttasks/documenttask1.xml><?xml version="1.0" encoding="utf-8"?>
<Tasks xmlns="http://schemas.microsoft.com/office/tasks/2019/documenttasks">
  <Task id="{5F9DB158-C6FF-40F2-88A3-B6F620F163F9}">
    <Anchor>
      <Comment id="{0F6B14EC-3F52-40B4-AE33-297E12FF5D9F}"/>
    </Anchor>
    <History>
      <Event time="2026-03-14T18:20:37.74" id="{D6140594-A088-4CDC-AF7A-B5C7C1D93841}">
        <Attribution userId="S::thalsindi@netways.com::c1bc28ca-6765-4eec-a781-f309101c12bc" userName="Tawah Hussain Alsindi" userProvider="AD"/>
        <Anchor>
          <Comment id="{0F6B14EC-3F52-40B4-AE33-297E12FF5D9F}"/>
        </Anchor>
        <Create/>
      </Event>
      <Event time="2026-03-14T18:20:37.74" id="{25DB806A-03BA-4F31-A725-D3C5F4D8EF46}">
        <Attribution userId="S::thalsindi@netways.com::c1bc28ca-6765-4eec-a781-f309101c12bc" userName="Tawah Hussain Alsindi" userProvider="AD"/>
        <Anchor>
          <Comment id="{0F6B14EC-3F52-40B4-AE33-297E12FF5D9F}"/>
        </Anchor>
        <Assign userId="S::aaliwat@Netways.com::c61a6179-68c7-4ce8-a0ef-f046fac96adf" userName="Abdallah Aliwat" userProvider="AD"/>
      </Event>
      <Event time="2026-03-14T18:20:37.74" id="{E5522F66-112A-4927-A5B2-2E08D6257A94}">
        <Attribution userId="S::thalsindi@netways.com::c1bc28ca-6765-4eec-a781-f309101c12bc" userName="Tawah Hussain Alsindi" userProvider="AD"/>
        <Anchor>
          <Comment id="{0F6B14EC-3F52-40B4-AE33-297E12FF5D9F}"/>
        </Anchor>
        <SetTitle title="@Abdallah Aliwat kindly share the history related the mob app"/>
      </Event>
      <Event time="2026-03-14T18:20:41.64" id="{5A51CA92-0722-4AE2-8EF9-207796D3B357}">
        <Attribution userId="S::thalsindi@netways.com::c1bc28ca-6765-4eec-a781-f309101c12bc" userName="Tawah Hussain Alsindi" userProvider="AD"/>
        <Progress percentComplete="100"/>
      </Event>
      <Event time="2026-03-14T18:20:48.18" id="{6B04DA27-5403-43D6-BD13-9638C96615B1}">
        <Attribution userId="S::thalsindi@netways.com::c1bc28ca-6765-4eec-a781-f309101c12bc" userName="Tawah Hussain Alsindi" userProvider="AD"/>
        <Progress percentComplete="0"/>
      </Event>
    </History>
  </Task>
</Task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mn/sites/Departments/PMOCC/SADADProjects/KAFD%20Structured%20Cabling%20%20Cabinets/PPR/PMO-03%20PPR%20-%20KAFD%20Structured%20Cabling%20-20171123%20V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xcportal-my.sharepoint.com/Users/sherif.mamdouh/AppData/Local/Microsoft/Windows/Temporary%20Internet%20Files/Content.Outlook/892MZDNZ/PMO-03%20PPR%20-%20SADAD%20Infrastructure%20-20161013V1%20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Project Status Report P.1"/>
      <sheetName val="Project Status Report P.2"/>
      <sheetName val="Project Status Report P.3"/>
      <sheetName val="Extract PPR"/>
      <sheetName val="Help"/>
      <sheetName val="List"/>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Project Status Report P.1"/>
      <sheetName val="Project Status Report P.2"/>
      <sheetName val="Project Status Report P.3"/>
      <sheetName val="Extract PPR"/>
      <sheetName val="Help"/>
      <sheetName val="List"/>
    </sheetNames>
    <sheetDataSet>
      <sheetData sheetId="0"/>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Abdallah Aliwat" id="{853B725C-1452-4A69-A14A-D2D11CBC04E9}" userId="aaliwat@Netways.com" providerId="PeoplePicker"/>
  <person displayName="Tawah Hussain Alsindi" id="{3ACB8D23-C5A6-44E7-8081-AAEADA7C2B31}" userId="S::thalsindi@netways.com::c1bc28ca-6765-4eec-a781-f309101c12b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30" dT="2026-03-14T18:20:37.74" personId="{3ACB8D23-C5A6-44E7-8081-AAEADA7C2B31}" id="{0F6B14EC-3F52-40B4-AE33-297E12FF5D9F}">
    <text>@Abdallah Aliwat  kindly share the history related the mob app</text>
    <mentions>
      <mention mentionpersonId="{853B725C-1452-4A69-A14A-D2D11CBC04E9}" mentionId="{0AF3CEE2-B985-467E-9E82-8DC44C2BCAE2}" startIndex="0" length="16"/>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opLeftCell="A6" workbookViewId="0">
      <selection activeCell="C3" sqref="C3"/>
    </sheetView>
  </sheetViews>
  <sheetFormatPr defaultColWidth="9.109375" defaultRowHeight="18"/>
  <cols>
    <col min="1" max="1" width="9.109375" style="2"/>
    <col min="2" max="2" width="23.88671875" style="3" customWidth="1"/>
    <col min="3" max="3" width="63.5546875" style="3" customWidth="1"/>
    <col min="4" max="4" width="9.109375" style="2"/>
    <col min="5" max="5" width="34.109375" style="2" bestFit="1" customWidth="1"/>
    <col min="6" max="7" width="9.109375" style="2"/>
    <col min="8" max="8" width="13.6640625" style="2" bestFit="1" customWidth="1"/>
    <col min="9" max="10" width="9.109375" style="2"/>
    <col min="11" max="11" width="18.21875" style="2" bestFit="1" customWidth="1"/>
    <col min="12" max="16384" width="9.109375" style="2"/>
  </cols>
  <sheetData>
    <row r="1" spans="1:12" ht="32.1" customHeight="1">
      <c r="A1" s="90" t="s">
        <v>0</v>
      </c>
      <c r="B1" s="90"/>
      <c r="C1" s="90"/>
      <c r="D1" s="90"/>
      <c r="E1" s="90"/>
      <c r="F1" s="90"/>
      <c r="G1" s="90"/>
      <c r="H1" s="90"/>
      <c r="I1" s="90"/>
      <c r="J1" s="90"/>
      <c r="K1" s="90"/>
      <c r="L1" s="90"/>
    </row>
    <row r="3" spans="1:12">
      <c r="B3" s="14" t="s">
        <v>1</v>
      </c>
      <c r="C3" s="100" t="s">
        <v>281</v>
      </c>
    </row>
    <row r="4" spans="1:12">
      <c r="B4" s="14" t="s">
        <v>2</v>
      </c>
      <c r="C4" s="15" t="s">
        <v>282</v>
      </c>
    </row>
    <row r="5" spans="1:12">
      <c r="B5" s="14" t="s">
        <v>3</v>
      </c>
      <c r="C5" s="16" t="s">
        <v>283</v>
      </c>
    </row>
    <row r="6" spans="1:12">
      <c r="B6" s="14" t="s">
        <v>4</v>
      </c>
      <c r="C6" s="17">
        <f ca="1">TODAY()</f>
        <v>46137</v>
      </c>
    </row>
    <row r="7" spans="1:12">
      <c r="B7" s="14" t="s">
        <v>5</v>
      </c>
      <c r="C7" s="17">
        <v>46023</v>
      </c>
    </row>
    <row r="8" spans="1:12">
      <c r="B8" s="14" t="s">
        <v>6</v>
      </c>
      <c r="C8" s="15" t="s">
        <v>211</v>
      </c>
    </row>
    <row r="10" spans="1:12">
      <c r="B10" s="69" t="s">
        <v>362</v>
      </c>
    </row>
    <row r="12" spans="1:12">
      <c r="B12" s="92" t="s">
        <v>363</v>
      </c>
      <c r="C12" s="21">
        <f>COUNTA('Assumptions-Actions'!A:A)-1</f>
        <v>59</v>
      </c>
      <c r="D12"/>
      <c r="E12" s="97" t="s">
        <v>369</v>
      </c>
      <c r="F12" s="21">
        <f>COUNTIF(Risks!A:A,"R-*")</f>
        <v>37</v>
      </c>
      <c r="G12"/>
      <c r="H12" s="95" t="s">
        <v>375</v>
      </c>
      <c r="I12" s="26">
        <f>COUNTIF(Issues!A:A,"I-*")</f>
        <v>27</v>
      </c>
      <c r="J12"/>
      <c r="K12" s="96" t="s">
        <v>380</v>
      </c>
      <c r="L12" s="26">
        <f>COUNTA(Dependencies!A:A)-1</f>
        <v>25</v>
      </c>
    </row>
    <row r="13" spans="1:12">
      <c r="B13" s="93" t="s">
        <v>364</v>
      </c>
      <c r="C13" s="21">
        <f>COUNTIF('Assumptions-Actions'!G:G,"Completed")</f>
        <v>32</v>
      </c>
      <c r="D13"/>
      <c r="E13" s="93" t="s">
        <v>370</v>
      </c>
      <c r="F13" s="21">
        <f>COUNTIF(Risks!F:F,"Active")</f>
        <v>2</v>
      </c>
      <c r="G13"/>
      <c r="H13" s="93" t="s">
        <v>376</v>
      </c>
      <c r="I13" s="26">
        <f>COUNTIF(Issues!D:D,"Active")</f>
        <v>2</v>
      </c>
      <c r="J13"/>
      <c r="K13" s="93" t="s">
        <v>381</v>
      </c>
      <c r="L13" s="26">
        <f>COUNTIF(Dependencies!G:G,"Closed")</f>
        <v>12</v>
      </c>
    </row>
    <row r="14" spans="1:12">
      <c r="B14" s="93" t="s">
        <v>365</v>
      </c>
      <c r="C14" s="21">
        <f>COUNTIF('Assumptions-Actions'!G:G,"Delayed")</f>
        <v>8</v>
      </c>
      <c r="D14"/>
      <c r="E14" s="93" t="s">
        <v>371</v>
      </c>
      <c r="F14" s="21">
        <f>COUNTIF(Risks!F:F,"Inactive")</f>
        <v>7</v>
      </c>
      <c r="G14"/>
      <c r="H14" s="93" t="s">
        <v>377</v>
      </c>
      <c r="I14" s="26">
        <f>COUNTIF(Issues!D:D,"Closed")</f>
        <v>3</v>
      </c>
      <c r="J14"/>
      <c r="K14" s="93" t="s">
        <v>365</v>
      </c>
      <c r="L14" s="26">
        <f>COUNTIF(Dependencies!G:G,"Delayed")</f>
        <v>2</v>
      </c>
    </row>
    <row r="15" spans="1:12">
      <c r="B15" s="93" t="s">
        <v>366</v>
      </c>
      <c r="C15" s="21">
        <f>COUNTIF('Assumptions-Actions'!G:G,"In Progress")</f>
        <v>1</v>
      </c>
      <c r="D15"/>
      <c r="E15" s="93" t="s">
        <v>372</v>
      </c>
      <c r="F15" s="21">
        <f>COUNTIF(Risks!F:F,"Escalated to Issue")</f>
        <v>1</v>
      </c>
      <c r="G15"/>
      <c r="H15" s="93" t="s">
        <v>378</v>
      </c>
      <c r="I15" s="26">
        <f>COUNTIF(Issues!E:E,"Critical")</f>
        <v>4</v>
      </c>
      <c r="J15"/>
      <c r="K15" s="93" t="s">
        <v>382</v>
      </c>
      <c r="L15" s="26">
        <f>COUNTIF(Dependencies!G:G,"Active")+COUNTIF(Dependencies!G:G,"Planned")</f>
        <v>0</v>
      </c>
    </row>
    <row r="16" spans="1:12">
      <c r="B16" s="93" t="s">
        <v>367</v>
      </c>
      <c r="C16" s="21">
        <f>COUNTIF('Assumptions-Actions'!G:G,"Active")</f>
        <v>0</v>
      </c>
      <c r="D16"/>
      <c r="E16" s="93" t="s">
        <v>373</v>
      </c>
      <c r="F16" s="21">
        <f>COUNTIF(Risks!G:G,"Critical")</f>
        <v>7</v>
      </c>
      <c r="G16"/>
      <c r="H16" s="93" t="s">
        <v>379</v>
      </c>
      <c r="I16" s="26">
        <f>COUNTIF(Issues!E:E,"High")</f>
        <v>1</v>
      </c>
      <c r="J16"/>
      <c r="K16"/>
      <c r="L16"/>
    </row>
    <row r="17" spans="2:12">
      <c r="B17" s="93" t="s">
        <v>368</v>
      </c>
      <c r="C17" s="21" t="str">
        <f>IF(C12&gt;0,TEXT(C13/C12,"0%"),"N/A")</f>
        <v>54%</v>
      </c>
      <c r="D17"/>
      <c r="E17" s="93" t="s">
        <v>374</v>
      </c>
      <c r="F17" s="21">
        <f>COUNTIF(Risks!G:G,"High")</f>
        <v>3</v>
      </c>
      <c r="G17"/>
      <c r="H17"/>
      <c r="I17"/>
      <c r="J17"/>
      <c r="K17"/>
      <c r="L17"/>
    </row>
    <row r="18" spans="2:12">
      <c r="F18" s="99"/>
    </row>
    <row r="19" spans="2:12">
      <c r="B19" s="69" t="s">
        <v>390</v>
      </c>
      <c r="F19" s="99"/>
    </row>
    <row r="20" spans="2:12">
      <c r="F20" s="99"/>
    </row>
    <row r="21" spans="2:12">
      <c r="B21" s="94" t="s">
        <v>391</v>
      </c>
      <c r="C21" s="98">
        <f>COUNTIFS(Risks!F:F,"Active",Risks!G:G,"Critical")+COUNTIFS(Risks!F:F,"Escalated to Issue",Risks!G:G,"Critical")</f>
        <v>1</v>
      </c>
      <c r="E21" s="94" t="s">
        <v>395</v>
      </c>
      <c r="F21" s="98"/>
    </row>
    <row r="22" spans="2:12">
      <c r="B22" s="94" t="s">
        <v>392</v>
      </c>
      <c r="C22" s="98">
        <f>COUNTIFS(Risks!F:F,"Active",Risks!G:G,"High")+COUNTIFS(Risks!F:F,"Escalated to Issue",Risks!G:G,"High")</f>
        <v>2</v>
      </c>
      <c r="E22" s="94" t="s">
        <v>396</v>
      </c>
      <c r="F22" s="98">
        <f>COUNTIF('Assumptions-Actions'!G:G,"Delayed")</f>
        <v>8</v>
      </c>
    </row>
    <row r="23" spans="2:12">
      <c r="B23" s="94" t="s">
        <v>393</v>
      </c>
      <c r="C23" s="98">
        <f>COUNTIFS(Issues!D:D,"Active",Issues!E:E,"Critical")</f>
        <v>1</v>
      </c>
      <c r="E23" s="94" t="s">
        <v>397</v>
      </c>
      <c r="F23" s="98">
        <f ca="1">COUNTIF('Assumptions-Actions'!M:M,"&gt;0")</f>
        <v>0</v>
      </c>
    </row>
    <row r="24" spans="2:12">
      <c r="B24" s="94" t="s">
        <v>394</v>
      </c>
      <c r="C24" s="98">
        <f>COUNTIF(Dependencies!G:G,"Delayed")</f>
        <v>2</v>
      </c>
      <c r="E24" s="94" t="s">
        <v>398</v>
      </c>
      <c r="F24" s="98">
        <f>COUNTIF(Risks!F:F,"Escalated to Issue")</f>
        <v>1</v>
      </c>
    </row>
  </sheetData>
  <mergeCells count="1">
    <mergeCell ref="A1:L1"/>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22"/>
  <sheetViews>
    <sheetView zoomScale="70" zoomScaleNormal="70" workbookViewId="0">
      <pane ySplit="1" topLeftCell="A38" activePane="bottomLeft" state="frozen"/>
      <selection activeCell="C1" sqref="C1"/>
      <selection pane="bottomLeft" activeCell="I43" sqref="I43"/>
    </sheetView>
  </sheetViews>
  <sheetFormatPr defaultRowHeight="14.4"/>
  <cols>
    <col min="1" max="1" width="8.109375" bestFit="1" customWidth="1"/>
    <col min="2" max="2" width="16" customWidth="1"/>
    <col min="3" max="3" width="14" bestFit="1" customWidth="1"/>
    <col min="4" max="4" width="53.33203125" style="5" customWidth="1"/>
    <col min="5" max="5" width="10.21875" style="5" bestFit="1" customWidth="1"/>
    <col min="6" max="6" width="18.5546875" bestFit="1" customWidth="1"/>
    <col min="7" max="7" width="10.88671875" style="8" bestFit="1" customWidth="1"/>
    <col min="8" max="8" width="15" style="22" bestFit="1" customWidth="1"/>
    <col min="9" max="9" width="20.6640625" style="29" customWidth="1"/>
    <col min="10" max="10" width="19.5546875" customWidth="1"/>
    <col min="11" max="11" width="14.44140625" style="30" customWidth="1"/>
    <col min="12" max="12" width="44.44140625" style="31" customWidth="1"/>
    <col min="13" max="14" width="14.21875" style="71" customWidth="1"/>
  </cols>
  <sheetData>
    <row r="1" spans="1:14" ht="27.9" customHeight="1">
      <c r="A1" s="79" t="s">
        <v>33</v>
      </c>
      <c r="B1" s="79" t="s">
        <v>10</v>
      </c>
      <c r="C1" s="79" t="s">
        <v>36</v>
      </c>
      <c r="D1" s="79" t="s">
        <v>34</v>
      </c>
      <c r="E1" s="79" t="s">
        <v>35</v>
      </c>
      <c r="F1" s="79" t="s">
        <v>37</v>
      </c>
      <c r="G1" s="79" t="s">
        <v>12</v>
      </c>
      <c r="H1" s="80" t="s">
        <v>38</v>
      </c>
      <c r="I1" s="81" t="s">
        <v>39</v>
      </c>
      <c r="J1" s="79" t="s">
        <v>40</v>
      </c>
      <c r="K1" s="79" t="s">
        <v>41</v>
      </c>
      <c r="L1" s="79" t="s">
        <v>42</v>
      </c>
      <c r="M1" s="70" t="s">
        <v>383</v>
      </c>
      <c r="N1" s="70" t="s">
        <v>384</v>
      </c>
    </row>
    <row r="2" spans="1:14" s="8" customFormat="1">
      <c r="A2" s="6" t="s">
        <v>43</v>
      </c>
      <c r="B2" s="27">
        <v>46007</v>
      </c>
      <c r="C2" s="18" t="s">
        <v>213</v>
      </c>
      <c r="D2" s="32" t="s">
        <v>232</v>
      </c>
      <c r="E2" s="7" t="s">
        <v>205</v>
      </c>
      <c r="F2" s="6" t="s">
        <v>207</v>
      </c>
      <c r="G2" s="6" t="s">
        <v>126</v>
      </c>
      <c r="H2" s="7" t="s">
        <v>209</v>
      </c>
      <c r="I2" s="27">
        <v>46007</v>
      </c>
      <c r="J2" s="18" t="s">
        <v>209</v>
      </c>
      <c r="K2" s="30">
        <v>46007</v>
      </c>
      <c r="L2" s="31"/>
      <c r="M2" s="72" t="str">
        <f ca="1">IF(AND(G2="Delayed",OR(I2&lt;&gt;"",I2&lt;&gt;"None")),IF(J2&lt;&gt;"",IF(J2&lt;&gt;"None",MAX(0,TODAY()-J2),MAX(0,TODAY()-I2)),MAX(0,TODAY()-I2)),"")</f>
        <v/>
      </c>
      <c r="N2" s="8" t="str">
        <f>IF(G2="Completed","✓",IF(G2="Delayed","⚠",IF(G2="In Progress","→",IF(G2="Active","●",""))))</f>
        <v>✓</v>
      </c>
    </row>
    <row r="3" spans="1:14" s="8" customFormat="1" ht="28.8">
      <c r="A3" s="6" t="s">
        <v>44</v>
      </c>
      <c r="B3" s="27">
        <v>46007</v>
      </c>
      <c r="C3" s="18" t="s">
        <v>213</v>
      </c>
      <c r="D3" s="35" t="s">
        <v>195</v>
      </c>
      <c r="E3" s="7" t="s">
        <v>205</v>
      </c>
      <c r="F3" s="6" t="s">
        <v>207</v>
      </c>
      <c r="G3" s="6" t="s">
        <v>126</v>
      </c>
      <c r="H3" s="7" t="s">
        <v>209</v>
      </c>
      <c r="I3" s="27">
        <v>46009</v>
      </c>
      <c r="J3" s="18" t="s">
        <v>209</v>
      </c>
      <c r="K3" s="30">
        <v>46009</v>
      </c>
      <c r="L3" s="31"/>
      <c r="M3" s="72" t="str">
        <f ca="1">IF(AND(G2="Delayed",OR(I2&lt;&gt;"",I2&lt;&gt;"None")),IF(J2&lt;&gt;"",IF(J2&lt;&gt;"None",MAX(0,TODAY()-J2),MAX(0,TODAY()-I2)),MAX(0,TODAY()-I2)),"")</f>
        <v/>
      </c>
      <c r="N3" s="8" t="str">
        <f>IF(G2="Completed","✓",IF(G2="Delayed","⚠",IF(G2="In Progress","→",IF(G2="Active","●",""))))</f>
        <v>✓</v>
      </c>
    </row>
    <row r="4" spans="1:14" s="8" customFormat="1">
      <c r="A4" s="6" t="s">
        <v>45</v>
      </c>
      <c r="B4" s="27">
        <v>46007</v>
      </c>
      <c r="C4" s="18" t="s">
        <v>204</v>
      </c>
      <c r="D4" s="35" t="s">
        <v>194</v>
      </c>
      <c r="E4" s="7" t="s">
        <v>205</v>
      </c>
      <c r="F4" s="6" t="s">
        <v>207</v>
      </c>
      <c r="G4" s="6" t="s">
        <v>126</v>
      </c>
      <c r="H4" s="7" t="s">
        <v>209</v>
      </c>
      <c r="I4" s="30">
        <v>46015</v>
      </c>
      <c r="J4" s="18" t="s">
        <v>209</v>
      </c>
      <c r="K4" s="30">
        <v>46015</v>
      </c>
      <c r="L4" s="31"/>
      <c r="M4" s="72" t="str">
        <f ca="1">IF(AND(G2="Delayed",OR(I2&lt;&gt;"",I2&lt;&gt;"None")),IF(J2&lt;&gt;"",IF(J2&lt;&gt;"None",MAX(0,TODAY()-J2),MAX(0,TODAY()-I2)),MAX(0,TODAY()-I2)),"")</f>
        <v/>
      </c>
      <c r="N4" s="8" t="str">
        <f>IF(G2="Completed","✓",IF(G2="Delayed","⚠",IF(G2="In Progress","→",IF(G2="Active","●",""))))</f>
        <v>✓</v>
      </c>
    </row>
    <row r="5" spans="1:14" s="8" customFormat="1">
      <c r="A5" s="6" t="s">
        <v>216</v>
      </c>
      <c r="B5" s="27">
        <v>46008</v>
      </c>
      <c r="C5" s="18" t="s">
        <v>204</v>
      </c>
      <c r="D5" s="35" t="s">
        <v>196</v>
      </c>
      <c r="E5" s="7" t="s">
        <v>205</v>
      </c>
      <c r="F5" s="6" t="s">
        <v>208</v>
      </c>
      <c r="G5" s="6" t="s">
        <v>126</v>
      </c>
      <c r="H5" s="7" t="s">
        <v>209</v>
      </c>
      <c r="I5" s="27">
        <v>46010</v>
      </c>
      <c r="J5" s="18"/>
      <c r="K5" s="30">
        <v>46010</v>
      </c>
      <c r="L5" s="31"/>
      <c r="M5" s="72" t="str">
        <f ca="1">IF(AND(G2="Delayed",OR(I2&lt;&gt;"",I2&lt;&gt;"None")),IF(J2&lt;&gt;"",IF(J2&lt;&gt;"None",MAX(0,TODAY()-J2),MAX(0,TODAY()-I2)),MAX(0,TODAY()-I2)),"")</f>
        <v/>
      </c>
      <c r="N5" s="8" t="str">
        <f>IF(G2="Completed","✓",IF(G2="Delayed","⚠",IF(G2="In Progress","→",IF(G2="Active","●",""))))</f>
        <v>✓</v>
      </c>
    </row>
    <row r="6" spans="1:14" s="8" customFormat="1">
      <c r="A6" s="6" t="s">
        <v>217</v>
      </c>
      <c r="B6" s="27">
        <v>46008</v>
      </c>
      <c r="C6" s="18"/>
      <c r="D6" s="35" t="s">
        <v>212</v>
      </c>
      <c r="E6" s="7" t="s">
        <v>205</v>
      </c>
      <c r="F6" s="6" t="s">
        <v>208</v>
      </c>
      <c r="G6" s="6" t="s">
        <v>126</v>
      </c>
      <c r="H6" s="7" t="s">
        <v>209</v>
      </c>
      <c r="I6" s="30">
        <v>46026</v>
      </c>
      <c r="J6" s="30">
        <v>46028</v>
      </c>
      <c r="K6" s="30">
        <v>46028</v>
      </c>
      <c r="L6" s="31"/>
      <c r="M6" s="72" t="str">
        <f ca="1">IF(AND(G2="Delayed",OR(I2&lt;&gt;"",I2&lt;&gt;"None")),IF(J2&lt;&gt;"",IF(J2&lt;&gt;"None",MAX(0,TODAY()-J2),MAX(0,TODAY()-I2)),MAX(0,TODAY()-I2)),"")</f>
        <v/>
      </c>
      <c r="N6" s="8" t="str">
        <f>IF(G2="Completed","✓",IF(G2="Delayed","⚠",IF(G2="In Progress","→",IF(G2="Active","●",""))))</f>
        <v>✓</v>
      </c>
    </row>
    <row r="7" spans="1:14" s="8" customFormat="1">
      <c r="A7" s="6" t="s">
        <v>46</v>
      </c>
      <c r="B7" s="27">
        <v>46007</v>
      </c>
      <c r="C7" s="18" t="s">
        <v>204</v>
      </c>
      <c r="D7" s="35" t="s">
        <v>197</v>
      </c>
      <c r="E7" s="7" t="s">
        <v>205</v>
      </c>
      <c r="F7" s="6" t="s">
        <v>207</v>
      </c>
      <c r="G7" s="6" t="s">
        <v>126</v>
      </c>
      <c r="H7" s="7" t="s">
        <v>209</v>
      </c>
      <c r="I7" s="30"/>
      <c r="J7" s="7" t="s">
        <v>209</v>
      </c>
      <c r="K7" s="30">
        <v>46015</v>
      </c>
      <c r="L7" s="31"/>
      <c r="M7" s="72" t="str">
        <f ca="1">IF(AND(G2="Delayed",OR(I2&lt;&gt;"",I2&lt;&gt;"None")),IF(J2&lt;&gt;"",IF(J2&lt;&gt;"None",MAX(0,TODAY()-J2),MAX(0,TODAY()-I2)),MAX(0,TODAY()-I2)),"")</f>
        <v/>
      </c>
      <c r="N7" s="8" t="str">
        <f>IF(G2="Completed","✓",IF(G2="Delayed","⚠",IF(G2="In Progress","→",IF(G2="Active","●",""))))</f>
        <v>✓</v>
      </c>
    </row>
    <row r="8" spans="1:14" s="8" customFormat="1">
      <c r="A8" s="6" t="s">
        <v>177</v>
      </c>
      <c r="B8" s="27">
        <v>46007</v>
      </c>
      <c r="C8" s="18" t="s">
        <v>204</v>
      </c>
      <c r="D8" s="4" t="s">
        <v>198</v>
      </c>
      <c r="E8" s="7" t="s">
        <v>205</v>
      </c>
      <c r="F8" s="6" t="s">
        <v>211</v>
      </c>
      <c r="G8" s="6" t="s">
        <v>126</v>
      </c>
      <c r="H8" s="7" t="s">
        <v>209</v>
      </c>
      <c r="I8" s="30">
        <v>46023</v>
      </c>
      <c r="J8" s="7" t="s">
        <v>209</v>
      </c>
      <c r="K8" s="30">
        <v>46023</v>
      </c>
      <c r="L8" s="31"/>
      <c r="M8" s="72" t="str">
        <f ca="1">IF(AND(G2="Delayed",OR(I2&lt;&gt;"",I2&lt;&gt;"None")),IF(J2&lt;&gt;"",IF(J2&lt;&gt;"None",MAX(0,TODAY()-J2),MAX(0,TODAY()-I2)),MAX(0,TODAY()-I2)),"")</f>
        <v/>
      </c>
      <c r="N8" s="8" t="str">
        <f>IF(G2="Completed","✓",IF(G2="Delayed","⚠",IF(G2="In Progress","→",IF(G2="Active","●",""))))</f>
        <v>✓</v>
      </c>
    </row>
    <row r="9" spans="1:14" s="8" customFormat="1" ht="28.8">
      <c r="A9" s="6" t="s">
        <v>178</v>
      </c>
      <c r="B9" s="27">
        <v>46023</v>
      </c>
      <c r="C9" s="18" t="s">
        <v>204</v>
      </c>
      <c r="D9" s="4" t="s">
        <v>284</v>
      </c>
      <c r="E9" s="7" t="s">
        <v>205</v>
      </c>
      <c r="F9" s="6" t="s">
        <v>207</v>
      </c>
      <c r="G9" s="6" t="s">
        <v>126</v>
      </c>
      <c r="H9" s="7" t="s">
        <v>209</v>
      </c>
      <c r="I9" s="30">
        <v>46026</v>
      </c>
      <c r="J9" s="7" t="s">
        <v>209</v>
      </c>
      <c r="K9" s="30">
        <v>46033</v>
      </c>
      <c r="L9" s="31" t="s">
        <v>233</v>
      </c>
      <c r="M9" s="72" t="str">
        <f ca="1">IF(AND(G2="Delayed",OR(I2&lt;&gt;"",I2&lt;&gt;"None")),IF(J2&lt;&gt;"",IF(J2&lt;&gt;"None",MAX(0,TODAY()-J2),MAX(0,TODAY()-I2)),MAX(0,TODAY()-I2)),"")</f>
        <v/>
      </c>
      <c r="N9" s="8" t="str">
        <f>IF(G2="Completed","✓",IF(G2="Delayed","⚠",IF(G2="In Progress","→",IF(G2="Active","●",""))))</f>
        <v>✓</v>
      </c>
    </row>
    <row r="10" spans="1:14" s="8" customFormat="1" ht="72">
      <c r="A10" s="6" t="s">
        <v>179</v>
      </c>
      <c r="B10" s="27">
        <v>46023</v>
      </c>
      <c r="C10" s="18"/>
      <c r="D10" s="4" t="s">
        <v>322</v>
      </c>
      <c r="E10" s="7" t="s">
        <v>205</v>
      </c>
      <c r="F10" s="6" t="s">
        <v>207</v>
      </c>
      <c r="G10" s="6" t="s">
        <v>126</v>
      </c>
      <c r="H10" s="6" t="s">
        <v>178</v>
      </c>
      <c r="I10" s="30">
        <v>46033</v>
      </c>
      <c r="J10" s="7" t="s">
        <v>209</v>
      </c>
      <c r="K10" s="30">
        <v>46037</v>
      </c>
      <c r="L10" s="31" t="s">
        <v>230</v>
      </c>
      <c r="M10" s="72" t="str">
        <f ca="1">IF(AND(G2="Delayed",OR(I2&lt;&gt;"",I2&lt;&gt;"None")),IF(J2&lt;&gt;"",IF(J2&lt;&gt;"None",MAX(0,TODAY()-J2),MAX(0,TODAY()-I2)),MAX(0,TODAY()-I2)),"")</f>
        <v/>
      </c>
      <c r="N10" s="8" t="str">
        <f>IF(G2="Completed","✓",IF(G2="Delayed","⚠",IF(G2="In Progress","→",IF(G2="Active","●",""))))</f>
        <v>✓</v>
      </c>
    </row>
    <row r="11" spans="1:14" s="8" customFormat="1" ht="216">
      <c r="A11" s="6" t="s">
        <v>180</v>
      </c>
      <c r="B11" s="27">
        <v>46023</v>
      </c>
      <c r="C11" s="18" t="s">
        <v>204</v>
      </c>
      <c r="D11" s="4" t="s">
        <v>218</v>
      </c>
      <c r="E11" s="7" t="s">
        <v>205</v>
      </c>
      <c r="F11" s="6" t="s">
        <v>207</v>
      </c>
      <c r="G11" s="6" t="s">
        <v>126</v>
      </c>
      <c r="H11" s="6" t="s">
        <v>179</v>
      </c>
      <c r="I11" s="30">
        <v>46027</v>
      </c>
      <c r="J11" s="30">
        <v>46056</v>
      </c>
      <c r="K11" s="30"/>
      <c r="L11" s="31" t="s">
        <v>285</v>
      </c>
      <c r="M11" s="72" t="str">
        <f ca="1">IF(AND(G2="Delayed",OR(I2&lt;&gt;"",I2&lt;&gt;"None")),IF(J2&lt;&gt;"",IF(J2&lt;&gt;"None",MAX(0,TODAY()-J2),MAX(0,TODAY()-I2)),MAX(0,TODAY()-I2)),"")</f>
        <v/>
      </c>
      <c r="N11" s="8" t="str">
        <f>IF(G2="Completed","✓",IF(G2="Delayed","⚠",IF(G2="In Progress","→",IF(G2="Active","●",""))))</f>
        <v>✓</v>
      </c>
    </row>
    <row r="12" spans="1:14" s="8" customFormat="1" ht="104.4" customHeight="1">
      <c r="A12" s="6" t="s">
        <v>181</v>
      </c>
      <c r="B12" s="27">
        <v>46023</v>
      </c>
      <c r="C12" s="18" t="s">
        <v>204</v>
      </c>
      <c r="D12" s="4" t="s">
        <v>220</v>
      </c>
      <c r="E12" s="7" t="s">
        <v>205</v>
      </c>
      <c r="F12" s="6" t="s">
        <v>236</v>
      </c>
      <c r="G12" s="6" t="s">
        <v>126</v>
      </c>
      <c r="H12" s="6" t="s">
        <v>179</v>
      </c>
      <c r="I12" s="30">
        <v>46027</v>
      </c>
      <c r="J12" s="18" t="s">
        <v>209</v>
      </c>
      <c r="K12" s="30">
        <v>46037</v>
      </c>
      <c r="L12" s="31" t="s">
        <v>239</v>
      </c>
      <c r="M12" s="72" t="str">
        <f ca="1">IF(AND(G2="Delayed",OR(I2&lt;&gt;"",I2&lt;&gt;"None")),IF(J2&lt;&gt;"",IF(J2&lt;&gt;"None",MAX(0,TODAY()-J2),MAX(0,TODAY()-I2)),MAX(0,TODAY()-I2)),"")</f>
        <v/>
      </c>
      <c r="N12" s="8" t="str">
        <f>IF(G2="Completed","✓",IF(G2="Delayed","⚠",IF(G2="In Progress","→",IF(G2="Active","●",""))))</f>
        <v>✓</v>
      </c>
    </row>
    <row r="13" spans="1:14" s="8" customFormat="1" ht="43.2">
      <c r="A13" s="6" t="s">
        <v>182</v>
      </c>
      <c r="B13" s="27">
        <v>46007</v>
      </c>
      <c r="C13" s="18" t="s">
        <v>204</v>
      </c>
      <c r="D13" s="4" t="s">
        <v>214</v>
      </c>
      <c r="E13" s="7" t="s">
        <v>205</v>
      </c>
      <c r="F13" s="6" t="s">
        <v>237</v>
      </c>
      <c r="G13" s="6" t="s">
        <v>126</v>
      </c>
      <c r="H13" s="18" t="s">
        <v>209</v>
      </c>
      <c r="I13" s="27">
        <v>46009</v>
      </c>
      <c r="J13" s="27">
        <v>46029</v>
      </c>
      <c r="K13" s="30">
        <v>46029</v>
      </c>
      <c r="L13" s="31" t="s">
        <v>215</v>
      </c>
      <c r="M13" s="72" t="str">
        <f ca="1">IF(AND(G2="Delayed",OR(I2&lt;&gt;"",I2&lt;&gt;"None")),IF(J2&lt;&gt;"",IF(J2&lt;&gt;"None",MAX(0,TODAY()-J2),MAX(0,TODAY()-I2)),MAX(0,TODAY()-I2)),"")</f>
        <v/>
      </c>
      <c r="N13" s="8" t="str">
        <f>IF(G2="Completed","✓",IF(G2="Delayed","⚠",IF(G2="In Progress","→",IF(G2="Active","●",""))))</f>
        <v>✓</v>
      </c>
    </row>
    <row r="14" spans="1:14" s="8" customFormat="1" ht="28.8">
      <c r="A14" s="6" t="s">
        <v>183</v>
      </c>
      <c r="B14" s="27">
        <v>46023</v>
      </c>
      <c r="C14" s="18" t="s">
        <v>204</v>
      </c>
      <c r="D14" s="4" t="s">
        <v>199</v>
      </c>
      <c r="E14" s="7" t="s">
        <v>205</v>
      </c>
      <c r="F14" s="6" t="s">
        <v>207</v>
      </c>
      <c r="G14" s="6" t="s">
        <v>126</v>
      </c>
      <c r="H14" s="18" t="s">
        <v>209</v>
      </c>
      <c r="I14" s="30">
        <v>46033</v>
      </c>
      <c r="J14" s="18" t="s">
        <v>209</v>
      </c>
      <c r="K14" s="30">
        <v>46037</v>
      </c>
      <c r="L14" s="31" t="s">
        <v>234</v>
      </c>
      <c r="M14" s="72" t="str">
        <f ca="1">IF(AND(G2="Delayed",OR(I2&lt;&gt;"",I2&lt;&gt;"None")),IF(J2&lt;&gt;"",IF(J2&lt;&gt;"None",MAX(0,TODAY()-J2),MAX(0,TODAY()-I2)),MAX(0,TODAY()-I2)),"")</f>
        <v/>
      </c>
      <c r="N14" s="8" t="str">
        <f>IF(G2="Completed","✓",IF(G2="Delayed","⚠",IF(G2="In Progress","→",IF(G2="Active","●",""))))</f>
        <v>✓</v>
      </c>
    </row>
    <row r="15" spans="1:14" s="8" customFormat="1" ht="28.8">
      <c r="A15" s="6" t="s">
        <v>176</v>
      </c>
      <c r="B15" s="27">
        <v>46023</v>
      </c>
      <c r="C15" s="18" t="s">
        <v>204</v>
      </c>
      <c r="D15" s="33" t="s">
        <v>210</v>
      </c>
      <c r="E15" s="7" t="s">
        <v>205</v>
      </c>
      <c r="F15" s="6" t="s">
        <v>241</v>
      </c>
      <c r="G15" s="6" t="s">
        <v>124</v>
      </c>
      <c r="H15" s="18" t="s">
        <v>209</v>
      </c>
      <c r="I15" s="30">
        <v>46027</v>
      </c>
      <c r="J15" s="30">
        <v>46056</v>
      </c>
      <c r="K15" s="30"/>
      <c r="L15" s="31" t="s">
        <v>228</v>
      </c>
      <c r="M15" s="72" t="str">
        <f ca="1">IF(AND(G2="Delayed",OR(I2&lt;&gt;"",I2&lt;&gt;"None")),IF(J2&lt;&gt;"",IF(J2&lt;&gt;"None",MAX(0,TODAY()-J2),MAX(0,TODAY()-I2)),MAX(0,TODAY()-I2)),"")</f>
        <v/>
      </c>
      <c r="N15" s="8" t="str">
        <f>IF(G2="Completed","✓",IF(G2="Delayed","⚠",IF(G2="In Progress","→",IF(G2="Active","●",""))))</f>
        <v>✓</v>
      </c>
    </row>
    <row r="16" spans="1:14" s="8" customFormat="1" ht="388.8">
      <c r="A16" s="6" t="s">
        <v>184</v>
      </c>
      <c r="B16" s="27">
        <v>46023</v>
      </c>
      <c r="C16" s="18" t="s">
        <v>204</v>
      </c>
      <c r="D16" s="33" t="s">
        <v>231</v>
      </c>
      <c r="E16" s="7" t="s">
        <v>205</v>
      </c>
      <c r="F16" s="6" t="s">
        <v>241</v>
      </c>
      <c r="G16" s="6" t="s">
        <v>124</v>
      </c>
      <c r="H16" s="6" t="s">
        <v>176</v>
      </c>
      <c r="I16" s="30">
        <v>46028</v>
      </c>
      <c r="J16" s="30">
        <v>46056</v>
      </c>
      <c r="K16" s="30"/>
      <c r="L16" s="31" t="s">
        <v>361</v>
      </c>
      <c r="M16" s="72" t="str">
        <f ca="1">IF(AND(G2="Delayed",OR(I2&lt;&gt;"",I2&lt;&gt;"None")),IF(J2&lt;&gt;"",IF(J2&lt;&gt;"None",MAX(0,TODAY()-J2),MAX(0,TODAY()-I2)),MAX(0,TODAY()-I2)),"")</f>
        <v/>
      </c>
      <c r="N16" s="8" t="str">
        <f>IF(G2="Completed","✓",IF(G2="Delayed","⚠",IF(G2="In Progress","→",IF(G2="Active","●",""))))</f>
        <v>✓</v>
      </c>
    </row>
    <row r="17" spans="1:14" s="8" customFormat="1">
      <c r="A17" s="6" t="s">
        <v>185</v>
      </c>
      <c r="B17" s="27">
        <v>46023</v>
      </c>
      <c r="C17" s="18" t="s">
        <v>204</v>
      </c>
      <c r="D17" s="33" t="s">
        <v>219</v>
      </c>
      <c r="E17" s="7" t="s">
        <v>205</v>
      </c>
      <c r="F17" s="6" t="s">
        <v>241</v>
      </c>
      <c r="G17" s="6" t="s">
        <v>124</v>
      </c>
      <c r="H17" s="6" t="s">
        <v>184</v>
      </c>
      <c r="I17" s="27">
        <v>46042</v>
      </c>
      <c r="J17" s="18"/>
      <c r="K17" s="30"/>
      <c r="L17" s="31"/>
      <c r="M17" s="72" t="str">
        <f ca="1">IF(AND(G2="Delayed",OR(I2&lt;&gt;"",I2&lt;&gt;"None")),IF(J2&lt;&gt;"",IF(J2&lt;&gt;"None",MAX(0,TODAY()-J2),MAX(0,TODAY()-I2)),MAX(0,TODAY()-I2)),"")</f>
        <v/>
      </c>
      <c r="N17" s="8" t="str">
        <f>IF(G2="Completed","✓",IF(G2="Delayed","⚠",IF(G2="In Progress","→",IF(G2="Active","●",""))))</f>
        <v>✓</v>
      </c>
    </row>
    <row r="18" spans="1:14" s="8" customFormat="1" ht="28.8">
      <c r="A18" s="6" t="s">
        <v>186</v>
      </c>
      <c r="B18" s="27"/>
      <c r="C18" s="18" t="s">
        <v>204</v>
      </c>
      <c r="D18" s="33" t="s">
        <v>221</v>
      </c>
      <c r="E18" s="7" t="s">
        <v>205</v>
      </c>
      <c r="F18" s="6" t="s">
        <v>207</v>
      </c>
      <c r="G18" s="6" t="s">
        <v>126</v>
      </c>
      <c r="H18" s="18" t="s">
        <v>209</v>
      </c>
      <c r="I18" s="18" t="s">
        <v>209</v>
      </c>
      <c r="J18" s="18" t="s">
        <v>209</v>
      </c>
      <c r="K18" s="30">
        <v>46036</v>
      </c>
      <c r="L18" s="31"/>
      <c r="M18" s="72" t="str">
        <f ca="1">IF(AND(G2="Delayed",OR(I2&lt;&gt;"",I2&lt;&gt;"None")),IF(J2&lt;&gt;"",IF(J2&lt;&gt;"None",MAX(0,TODAY()-J2),MAX(0,TODAY()-I2)),MAX(0,TODAY()-I2)),"")</f>
        <v/>
      </c>
      <c r="N18" s="8" t="str">
        <f>IF(G2="Completed","✓",IF(G2="Delayed","⚠",IF(G2="In Progress","→",IF(G2="Active","●",""))))</f>
        <v>✓</v>
      </c>
    </row>
    <row r="19" spans="1:14" s="8" customFormat="1" ht="57.6">
      <c r="A19" s="6" t="s">
        <v>187</v>
      </c>
      <c r="B19" s="27">
        <v>46023</v>
      </c>
      <c r="C19" s="18" t="s">
        <v>213</v>
      </c>
      <c r="D19" s="33" t="s">
        <v>229</v>
      </c>
      <c r="E19" s="7" t="s">
        <v>205</v>
      </c>
      <c r="F19" s="6" t="s">
        <v>236</v>
      </c>
      <c r="G19" s="6" t="s">
        <v>126</v>
      </c>
      <c r="H19" s="6" t="s">
        <v>179</v>
      </c>
      <c r="I19" s="30">
        <v>46027</v>
      </c>
      <c r="J19" s="18"/>
      <c r="K19" s="30">
        <v>46042</v>
      </c>
      <c r="L19" s="31" t="s">
        <v>238</v>
      </c>
      <c r="M19" s="72" t="str">
        <f ca="1">IF(AND(G2="Delayed",OR(I2&lt;&gt;"",I2&lt;&gt;"None")),IF(J2&lt;&gt;"",IF(J2&lt;&gt;"None",MAX(0,TODAY()-J2),MAX(0,TODAY()-I2)),MAX(0,TODAY()-I2)),"")</f>
        <v/>
      </c>
      <c r="N19" s="8" t="str">
        <f>IF(G2="Completed","✓",IF(G2="Delayed","⚠",IF(G2="In Progress","→",IF(G2="Active","●",""))))</f>
        <v>✓</v>
      </c>
    </row>
    <row r="20" spans="1:14" s="8" customFormat="1" ht="122.4" customHeight="1">
      <c r="A20" s="6" t="s">
        <v>188</v>
      </c>
      <c r="B20" s="27">
        <v>46042</v>
      </c>
      <c r="C20" s="18" t="s">
        <v>213</v>
      </c>
      <c r="D20" s="36" t="s">
        <v>243</v>
      </c>
      <c r="E20" s="7" t="s">
        <v>205</v>
      </c>
      <c r="F20" s="6" t="s">
        <v>208</v>
      </c>
      <c r="G20" s="6" t="s">
        <v>126</v>
      </c>
      <c r="H20" s="6" t="s">
        <v>180</v>
      </c>
      <c r="I20" s="30">
        <v>46036</v>
      </c>
      <c r="J20" s="18"/>
      <c r="K20" s="30">
        <v>46077</v>
      </c>
      <c r="L20" s="31" t="s">
        <v>339</v>
      </c>
      <c r="M20" s="72" t="str">
        <f ca="1">IF(AND(G2="Delayed",OR(I2&lt;&gt;"",I2&lt;&gt;"None")),IF(J2&lt;&gt;"",IF(J2&lt;&gt;"None",MAX(0,TODAY()-J2),MAX(0,TODAY()-I2)),MAX(0,TODAY()-I2)),"")</f>
        <v/>
      </c>
      <c r="N20" s="8" t="str">
        <f>IF(G2="Completed","✓",IF(G2="Delayed","⚠",IF(G2="In Progress","→",IF(G2="Active","●",""))))</f>
        <v>✓</v>
      </c>
    </row>
    <row r="21" spans="1:14" s="8" customFormat="1" ht="158.4">
      <c r="A21" s="6" t="s">
        <v>189</v>
      </c>
      <c r="B21" s="27">
        <v>46042</v>
      </c>
      <c r="C21" s="18" t="s">
        <v>204</v>
      </c>
      <c r="D21" s="33" t="s">
        <v>222</v>
      </c>
      <c r="E21" s="7" t="s">
        <v>205</v>
      </c>
      <c r="F21" s="6" t="s">
        <v>207</v>
      </c>
      <c r="G21" s="6" t="s">
        <v>124</v>
      </c>
      <c r="H21" s="18" t="s">
        <v>209</v>
      </c>
      <c r="I21" s="30">
        <v>46027</v>
      </c>
      <c r="J21" s="30">
        <v>46056</v>
      </c>
      <c r="K21" s="30"/>
      <c r="L21" s="31" t="s">
        <v>409</v>
      </c>
      <c r="M21" s="72" t="str">
        <f ca="1">IF(AND(G2="Delayed",OR(I2&lt;&gt;"",I2&lt;&gt;"None")),IF(J2&lt;&gt;"",IF(J2&lt;&gt;"None",MAX(0,TODAY()-J2),MAX(0,TODAY()-I2)),MAX(0,TODAY()-I2)),"")</f>
        <v/>
      </c>
      <c r="N21" s="8" t="str">
        <f>IF(G2="Completed","✓",IF(G2="Delayed","⚠",IF(G2="In Progress","→",IF(G2="Active","●",""))))</f>
        <v>✓</v>
      </c>
    </row>
    <row r="22" spans="1:14" s="8" customFormat="1" ht="158.4">
      <c r="A22" s="6" t="s">
        <v>190</v>
      </c>
      <c r="B22" s="27">
        <v>46042</v>
      </c>
      <c r="C22" s="18" t="s">
        <v>204</v>
      </c>
      <c r="D22" s="33" t="s">
        <v>223</v>
      </c>
      <c r="E22" s="7" t="s">
        <v>205</v>
      </c>
      <c r="F22" s="6" t="s">
        <v>207</v>
      </c>
      <c r="G22" s="6" t="s">
        <v>126</v>
      </c>
      <c r="H22" s="18" t="s">
        <v>209</v>
      </c>
      <c r="I22" s="30">
        <v>46027</v>
      </c>
      <c r="J22" s="30">
        <v>46056</v>
      </c>
      <c r="K22" s="30"/>
      <c r="L22" s="31" t="s">
        <v>360</v>
      </c>
      <c r="M22" s="72" t="str">
        <f ca="1">IF(AND(G2="Delayed",OR(I2&lt;&gt;"",I2&lt;&gt;"None")),IF(J2&lt;&gt;"",IF(J2&lt;&gt;"None",MAX(0,TODAY()-J2),MAX(0,TODAY()-I2)),MAX(0,TODAY()-I2)),"")</f>
        <v/>
      </c>
      <c r="N22" s="8" t="str">
        <f>IF(G2="Completed","✓",IF(G2="Delayed","⚠",IF(G2="In Progress","→",IF(G2="Active","●",""))))</f>
        <v>✓</v>
      </c>
    </row>
    <row r="23" spans="1:14" s="8" customFormat="1" ht="86.4">
      <c r="A23" s="6" t="s">
        <v>191</v>
      </c>
      <c r="B23" s="27">
        <v>46042</v>
      </c>
      <c r="C23" s="18" t="s">
        <v>204</v>
      </c>
      <c r="D23" s="33" t="s">
        <v>224</v>
      </c>
      <c r="E23" s="7" t="s">
        <v>205</v>
      </c>
      <c r="F23" s="6" t="s">
        <v>207</v>
      </c>
      <c r="G23" s="6" t="s">
        <v>126</v>
      </c>
      <c r="H23" s="18" t="s">
        <v>209</v>
      </c>
      <c r="I23" s="30">
        <v>46027</v>
      </c>
      <c r="J23" s="30">
        <v>46056</v>
      </c>
      <c r="K23" s="30"/>
      <c r="L23" s="31" t="s">
        <v>344</v>
      </c>
      <c r="M23" s="72" t="str">
        <f ca="1">IF(AND(G2="Delayed",OR(I2&lt;&gt;"",I2&lt;&gt;"None")),IF(J2&lt;&gt;"",IF(J2&lt;&gt;"None",MAX(0,TODAY()-J2),MAX(0,TODAY()-I2)),MAX(0,TODAY()-I2)),"")</f>
        <v/>
      </c>
      <c r="N23" s="8" t="str">
        <f>IF(G2="Completed","✓",IF(G2="Delayed","⚠",IF(G2="In Progress","→",IF(G2="Active","●",""))))</f>
        <v>✓</v>
      </c>
    </row>
    <row r="24" spans="1:14" ht="43.2">
      <c r="A24" s="6" t="s">
        <v>192</v>
      </c>
      <c r="B24" s="27">
        <v>46042</v>
      </c>
      <c r="C24" s="18" t="s">
        <v>204</v>
      </c>
      <c r="D24" s="33" t="s">
        <v>225</v>
      </c>
      <c r="E24" s="7" t="s">
        <v>205</v>
      </c>
      <c r="F24" s="6" t="s">
        <v>207</v>
      </c>
      <c r="G24" s="6" t="s">
        <v>126</v>
      </c>
      <c r="H24" s="18" t="s">
        <v>209</v>
      </c>
      <c r="I24" s="30">
        <v>46027</v>
      </c>
      <c r="J24" s="30">
        <v>46055</v>
      </c>
      <c r="L24" s="31" t="s">
        <v>263</v>
      </c>
      <c r="M24" s="73" t="str">
        <f ca="1">IF(AND(G2="Delayed",OR(I2&lt;&gt;"",I2&lt;&gt;"None")),IF(J2&lt;&gt;"",IF(J2&lt;&gt;"None",MAX(0,TODAY()-J2),MAX(0,TODAY()-I2)),MAX(0,TODAY()-I2)),"")</f>
        <v/>
      </c>
      <c r="N24" s="71" t="str">
        <f>IF(G2="Completed","✓",IF(G2="Delayed","⚠",IF(G2="In Progress","→",IF(G2="Active","●",""))))</f>
        <v>✓</v>
      </c>
    </row>
    <row r="25" spans="1:14" ht="72">
      <c r="A25" s="6" t="s">
        <v>193</v>
      </c>
      <c r="B25" s="27">
        <v>46049</v>
      </c>
      <c r="C25" s="18" t="s">
        <v>213</v>
      </c>
      <c r="D25" s="33" t="s">
        <v>226</v>
      </c>
      <c r="E25" s="7" t="s">
        <v>205</v>
      </c>
      <c r="F25" s="6" t="s">
        <v>207</v>
      </c>
      <c r="G25" s="6" t="s">
        <v>126</v>
      </c>
      <c r="H25" s="18" t="s">
        <v>209</v>
      </c>
      <c r="I25" s="30">
        <v>46027</v>
      </c>
      <c r="J25" s="30">
        <v>46056</v>
      </c>
      <c r="L25" s="31" t="s">
        <v>242</v>
      </c>
      <c r="M25" s="73" t="str">
        <f ca="1">IF(AND(G2="Delayed",OR(I2&lt;&gt;"",I2&lt;&gt;"None")),IF(J2&lt;&gt;"",IF(J2&lt;&gt;"None",MAX(0,TODAY()-J2),MAX(0,TODAY()-I2)),MAX(0,TODAY()-I2)),"")</f>
        <v/>
      </c>
      <c r="N25" s="71" t="str">
        <f>IF(G2="Completed","✓",IF(G2="Delayed","⚠",IF(G2="In Progress","→",IF(G2="Active","●",""))))</f>
        <v>✓</v>
      </c>
    </row>
    <row r="26" spans="1:14" ht="86.4">
      <c r="A26" s="6" t="s">
        <v>47</v>
      </c>
      <c r="B26" s="27">
        <v>46049</v>
      </c>
      <c r="C26" s="18" t="s">
        <v>213</v>
      </c>
      <c r="D26" s="33" t="s">
        <v>240</v>
      </c>
      <c r="E26" s="7" t="s">
        <v>205</v>
      </c>
      <c r="F26" s="6" t="s">
        <v>207</v>
      </c>
      <c r="G26" s="6" t="s">
        <v>126</v>
      </c>
      <c r="H26" s="18" t="s">
        <v>209</v>
      </c>
      <c r="I26" s="30">
        <v>46027</v>
      </c>
      <c r="J26" s="30" t="s">
        <v>331</v>
      </c>
      <c r="K26" s="30">
        <v>46090</v>
      </c>
      <c r="L26" s="31" t="s">
        <v>345</v>
      </c>
      <c r="M26" s="73" t="str">
        <f ca="1">IF(AND(G2="Delayed",OR(I2&lt;&gt;"",I2&lt;&gt;"None")),IF(J2&lt;&gt;"",IF(J2&lt;&gt;"None",MAX(0,TODAY()-J2),MAX(0,TODAY()-I2)),MAX(0,TODAY()-I2)),"")</f>
        <v/>
      </c>
      <c r="N26" s="71" t="str">
        <f>IF(G2="Completed","✓",IF(G2="Delayed","⚠",IF(G2="In Progress","→",IF(G2="Active","●",""))))</f>
        <v>✓</v>
      </c>
    </row>
    <row r="27" spans="1:14">
      <c r="A27" s="6" t="s">
        <v>48</v>
      </c>
      <c r="B27" s="27">
        <v>46049</v>
      </c>
      <c r="C27" s="18" t="s">
        <v>204</v>
      </c>
      <c r="D27" s="33" t="s">
        <v>227</v>
      </c>
      <c r="E27" s="7" t="s">
        <v>205</v>
      </c>
      <c r="F27" s="6" t="s">
        <v>207</v>
      </c>
      <c r="G27" s="6" t="s">
        <v>126</v>
      </c>
      <c r="H27" s="18" t="s">
        <v>209</v>
      </c>
      <c r="I27" s="30">
        <v>46027</v>
      </c>
      <c r="J27" s="30">
        <v>46056</v>
      </c>
      <c r="K27" s="30">
        <v>46063</v>
      </c>
      <c r="M27" s="73" t="str">
        <f ca="1">IF(AND(G2="Delayed",OR(I2&lt;&gt;"",I2&lt;&gt;"None")),IF(J2&lt;&gt;"",IF(J2&lt;&gt;"None",MAX(0,TODAY()-J2),MAX(0,TODAY()-I2)),MAX(0,TODAY()-I2)),"")</f>
        <v/>
      </c>
      <c r="N27" s="71" t="str">
        <f>IF(G2="Completed","✓",IF(G2="Delayed","⚠",IF(G2="In Progress","→",IF(G2="Active","●",""))))</f>
        <v>✓</v>
      </c>
    </row>
    <row r="28" spans="1:14" ht="247.8" customHeight="1">
      <c r="A28" s="6" t="s">
        <v>49</v>
      </c>
      <c r="B28" s="27">
        <v>46034</v>
      </c>
      <c r="C28" s="18" t="s">
        <v>204</v>
      </c>
      <c r="D28" s="36" t="s">
        <v>248</v>
      </c>
      <c r="E28" s="7" t="s">
        <v>205</v>
      </c>
      <c r="F28" s="6" t="s">
        <v>207</v>
      </c>
      <c r="G28" s="6" t="s">
        <v>126</v>
      </c>
      <c r="H28" s="18" t="s">
        <v>209</v>
      </c>
      <c r="I28" s="30">
        <v>46027</v>
      </c>
      <c r="J28" s="30">
        <v>46056</v>
      </c>
      <c r="K28" s="30">
        <v>46068</v>
      </c>
      <c r="L28" s="31" t="s">
        <v>335</v>
      </c>
      <c r="M28" s="73" t="str">
        <f ca="1">IF(AND(G2="Delayed",OR(I2&lt;&gt;"",I2&lt;&gt;"None")),IF(J2&lt;&gt;"",IF(J2&lt;&gt;"None",MAX(0,TODAY()-J2),MAX(0,TODAY()-I2)),MAX(0,TODAY()-I2)),"")</f>
        <v/>
      </c>
      <c r="N28" s="71" t="str">
        <f>IF(G2="Completed","✓",IF(G2="Delayed","⚠",IF(G2="In Progress","→",IF(G2="Active","●",""))))</f>
        <v>✓</v>
      </c>
    </row>
    <row r="29" spans="1:14" ht="187.2">
      <c r="A29" s="6" t="s">
        <v>50</v>
      </c>
      <c r="B29" s="27">
        <v>46042</v>
      </c>
      <c r="C29" s="18" t="s">
        <v>204</v>
      </c>
      <c r="D29" s="33" t="s">
        <v>399</v>
      </c>
      <c r="E29" s="7" t="s">
        <v>206</v>
      </c>
      <c r="F29" s="6" t="s">
        <v>204</v>
      </c>
      <c r="G29" s="6" t="s">
        <v>126</v>
      </c>
      <c r="H29" s="6" t="s">
        <v>188</v>
      </c>
      <c r="I29" s="30">
        <v>46035</v>
      </c>
      <c r="J29" s="18"/>
      <c r="L29" s="31" t="s">
        <v>359</v>
      </c>
      <c r="M29" s="73" t="str">
        <f ca="1">IF(AND(G2="Delayed",OR(I2&lt;&gt;"",I2&lt;&gt;"None")),IF(J2&lt;&gt;"",IF(J2&lt;&gt;"None",MAX(0,TODAY()-J2),MAX(0,TODAY()-I2)),MAX(0,TODAY()-I2)),"")</f>
        <v/>
      </c>
      <c r="N29" s="71" t="str">
        <f>IF(G2="Completed","✓",IF(G2="Delayed","⚠",IF(G2="In Progress","→",IF(G2="Active","●",""))))</f>
        <v>✓</v>
      </c>
    </row>
    <row r="30" spans="1:14" ht="28.8">
      <c r="A30" s="6" t="s">
        <v>51</v>
      </c>
      <c r="B30" s="27">
        <v>46033</v>
      </c>
      <c r="C30" s="18" t="s">
        <v>204</v>
      </c>
      <c r="D30" s="33" t="s">
        <v>318</v>
      </c>
      <c r="E30" s="7" t="s">
        <v>205</v>
      </c>
      <c r="F30" s="6" t="s">
        <v>241</v>
      </c>
      <c r="G30" s="6" t="s">
        <v>124</v>
      </c>
      <c r="H30" s="18" t="s">
        <v>209</v>
      </c>
      <c r="I30" s="30">
        <v>46027</v>
      </c>
      <c r="J30" s="18"/>
      <c r="M30" s="73" t="str">
        <f ca="1">IF(AND(G2="Delayed",OR(I2&lt;&gt;"",I2&lt;&gt;"None")),IF(J2&lt;&gt;"",IF(J2&lt;&gt;"None",MAX(0,TODAY()-J2),MAX(0,TODAY()-I2)),MAX(0,TODAY()-I2)),"")</f>
        <v/>
      </c>
      <c r="N30" s="71" t="str">
        <f>IF(G2="Completed","✓",IF(G2="Delayed","⚠",IF(G2="In Progress","→",IF(G2="Active","●",""))))</f>
        <v>✓</v>
      </c>
    </row>
    <row r="31" spans="1:14">
      <c r="A31" s="6" t="s">
        <v>52</v>
      </c>
      <c r="B31" s="27">
        <v>46027</v>
      </c>
      <c r="C31" s="18" t="s">
        <v>204</v>
      </c>
      <c r="D31" s="33" t="s">
        <v>321</v>
      </c>
      <c r="E31" s="7" t="s">
        <v>205</v>
      </c>
      <c r="F31" s="6" t="s">
        <v>241</v>
      </c>
      <c r="G31" s="6" t="s">
        <v>126</v>
      </c>
      <c r="H31" s="18" t="s">
        <v>209</v>
      </c>
      <c r="I31" s="30">
        <v>46027</v>
      </c>
      <c r="J31" s="18"/>
      <c r="K31" s="30">
        <v>46029</v>
      </c>
      <c r="M31" s="73" t="str">
        <f ca="1">IF(AND(G2="Delayed",OR(I2&lt;&gt;"",I2&lt;&gt;"None")),IF(J2&lt;&gt;"",IF(J2&lt;&gt;"None",MAX(0,TODAY()-J2),MAX(0,TODAY()-I2)),MAX(0,TODAY()-I2)),"")</f>
        <v/>
      </c>
      <c r="N31" s="71" t="str">
        <f>IF(G2="Completed","✓",IF(G2="Delayed","⚠",IF(G2="In Progress","→",IF(G2="Active","●",""))))</f>
        <v>✓</v>
      </c>
    </row>
    <row r="32" spans="1:14" ht="158.4">
      <c r="A32" s="6" t="s">
        <v>53</v>
      </c>
      <c r="B32" s="27">
        <v>46037</v>
      </c>
      <c r="C32" s="18" t="s">
        <v>204</v>
      </c>
      <c r="D32" s="66" t="s">
        <v>353</v>
      </c>
      <c r="E32" s="7" t="s">
        <v>205</v>
      </c>
      <c r="F32" s="6" t="s">
        <v>241</v>
      </c>
      <c r="G32" s="6" t="s">
        <v>126</v>
      </c>
      <c r="H32" s="18" t="s">
        <v>209</v>
      </c>
      <c r="I32" s="30">
        <v>46051</v>
      </c>
      <c r="J32" s="30">
        <v>46063</v>
      </c>
      <c r="K32" s="30">
        <v>46069</v>
      </c>
      <c r="L32" s="31" t="s">
        <v>352</v>
      </c>
      <c r="M32" s="73" t="str">
        <f ca="1">IF(AND(G2="Delayed",OR(I2&lt;&gt;"",I2&lt;&gt;"None")),IF(J2&lt;&gt;"",IF(J2&lt;&gt;"None",MAX(0,TODAY()-J2),MAX(0,TODAY()-I2)),MAX(0,TODAY()-I2)),"")</f>
        <v/>
      </c>
      <c r="N32" s="71" t="str">
        <f>IF(G2="Completed","✓",IF(G2="Delayed","⚠",IF(G2="In Progress","→",IF(G2="Active","●",""))))</f>
        <v>✓</v>
      </c>
    </row>
    <row r="33" spans="1:14" ht="115.2">
      <c r="A33" s="6" t="s">
        <v>54</v>
      </c>
      <c r="B33" s="27">
        <v>46073</v>
      </c>
      <c r="C33" s="18" t="s">
        <v>204</v>
      </c>
      <c r="D33" s="66" t="s">
        <v>346</v>
      </c>
      <c r="E33" s="7" t="s">
        <v>205</v>
      </c>
      <c r="F33" s="6" t="s">
        <v>241</v>
      </c>
      <c r="G33" s="6" t="s">
        <v>126</v>
      </c>
      <c r="H33" s="18" t="s">
        <v>209</v>
      </c>
      <c r="I33" s="30">
        <v>46051</v>
      </c>
      <c r="J33" s="30">
        <v>46078</v>
      </c>
      <c r="K33" s="30">
        <v>46113</v>
      </c>
      <c r="L33" s="31" t="s">
        <v>404</v>
      </c>
      <c r="M33" s="73" t="str">
        <f ca="1">IF(AND(G2="Delayed",OR(I2&lt;&gt;"",I2&lt;&gt;"None")),IF(J2&lt;&gt;"",IF(J2&lt;&gt;"None",MAX(0,TODAY()-J2),MAX(0,TODAY()-I2)),MAX(0,TODAY()-I2)),"")</f>
        <v/>
      </c>
      <c r="N33" s="71" t="str">
        <f>IF(G2="Completed","✓",IF(G2="Delayed","⚠",IF(G2="In Progress","→",IF(G2="Active","●",""))))</f>
        <v>✓</v>
      </c>
    </row>
    <row r="34" spans="1:14" ht="115.2">
      <c r="A34" s="6" t="s">
        <v>55</v>
      </c>
      <c r="B34" s="27">
        <v>46083</v>
      </c>
      <c r="C34" s="18" t="s">
        <v>204</v>
      </c>
      <c r="D34" s="33" t="s">
        <v>295</v>
      </c>
      <c r="E34" s="7"/>
      <c r="F34" s="6" t="s">
        <v>351</v>
      </c>
      <c r="G34" s="6" t="s">
        <v>124</v>
      </c>
      <c r="H34" s="6" t="s">
        <v>50</v>
      </c>
      <c r="I34" s="30" t="s">
        <v>350</v>
      </c>
      <c r="J34" s="30">
        <v>46096</v>
      </c>
      <c r="L34" s="31" t="s">
        <v>412</v>
      </c>
      <c r="M34" s="73" t="str">
        <f ca="1">IF(AND(G2="Delayed",OR(I2&lt;&gt;"",I2&lt;&gt;"None")),IF(J2&lt;&gt;"",IF(J2&lt;&gt;"None",MAX(0,TODAY()-J2),MAX(0,TODAY()-I2)),MAX(0,TODAY()-I2)),"")</f>
        <v/>
      </c>
      <c r="N34" s="71" t="str">
        <f>IF(G2="Completed","✓",IF(G2="Delayed","⚠",IF(G2="In Progress","→",IF(G2="Active","●",""))))</f>
        <v>✓</v>
      </c>
    </row>
    <row r="35" spans="1:14" ht="86.4">
      <c r="A35" s="6" t="s">
        <v>56</v>
      </c>
      <c r="B35" s="27">
        <v>46090</v>
      </c>
      <c r="C35" s="18" t="s">
        <v>204</v>
      </c>
      <c r="D35" s="66" t="s">
        <v>406</v>
      </c>
      <c r="E35" s="7" t="s">
        <v>205</v>
      </c>
      <c r="F35" s="6" t="s">
        <v>241</v>
      </c>
      <c r="G35" s="6" t="s">
        <v>126</v>
      </c>
      <c r="H35" s="18" t="s">
        <v>209</v>
      </c>
      <c r="I35" s="30">
        <v>46051</v>
      </c>
      <c r="J35" s="18"/>
      <c r="K35" s="30">
        <v>46113</v>
      </c>
      <c r="L35" s="31" t="s">
        <v>407</v>
      </c>
      <c r="M35" s="73" t="str">
        <f ca="1">IF(AND(G2="Delayed",OR(I2&lt;&gt;"",I2&lt;&gt;"None")),IF(J2&lt;&gt;"",IF(J2&lt;&gt;"None",MAX(0,TODAY()-J2),MAX(0,TODAY()-I2)),MAX(0,TODAY()-I2)),"")</f>
        <v/>
      </c>
      <c r="N35" s="71" t="str">
        <f>IF(G2="Completed","✓",IF(G2="Delayed","⚠",IF(G2="In Progress","→",IF(G2="Active","●",""))))</f>
        <v>✓</v>
      </c>
    </row>
    <row r="36" spans="1:14" ht="86.4">
      <c r="A36" s="6" t="s">
        <v>57</v>
      </c>
      <c r="B36" s="27">
        <v>46093</v>
      </c>
      <c r="C36" s="18" t="s">
        <v>204</v>
      </c>
      <c r="D36" s="66" t="s">
        <v>349</v>
      </c>
      <c r="E36" s="7" t="s">
        <v>205</v>
      </c>
      <c r="F36" s="6" t="s">
        <v>241</v>
      </c>
      <c r="G36" s="6" t="s">
        <v>126</v>
      </c>
      <c r="H36" s="18" t="s">
        <v>209</v>
      </c>
      <c r="I36" s="30">
        <v>46051</v>
      </c>
      <c r="J36" s="18"/>
      <c r="K36" s="30">
        <v>46113</v>
      </c>
      <c r="L36" s="31" t="s">
        <v>405</v>
      </c>
      <c r="M36" s="73" t="str">
        <f ca="1">IF(AND(G2="Delayed",OR(I2&lt;&gt;"",I2&lt;&gt;"None")),IF(J2&lt;&gt;"",IF(J2&lt;&gt;"None",MAX(0,TODAY()-J2),MAX(0,TODAY()-I2)),MAX(0,TODAY()-I2)),"")</f>
        <v/>
      </c>
      <c r="N36" s="71" t="str">
        <f>IF(G2="Completed","✓",IF(G2="Delayed","⚠",IF(G2="In Progress","→",IF(G2="Active","●",""))))</f>
        <v>✓</v>
      </c>
    </row>
    <row r="37" spans="1:14" ht="129.6">
      <c r="A37" s="6" t="s">
        <v>58</v>
      </c>
      <c r="B37" s="27"/>
      <c r="C37" s="18" t="s">
        <v>204</v>
      </c>
      <c r="D37" s="66" t="s">
        <v>400</v>
      </c>
      <c r="E37" s="7" t="s">
        <v>205</v>
      </c>
      <c r="F37" s="6" t="s">
        <v>241</v>
      </c>
      <c r="G37" s="6" t="s">
        <v>124</v>
      </c>
      <c r="H37" s="18" t="s">
        <v>209</v>
      </c>
      <c r="I37" s="30">
        <v>46051</v>
      </c>
      <c r="J37" s="18"/>
      <c r="L37" s="31" t="s">
        <v>408</v>
      </c>
      <c r="M37" s="73" t="str">
        <f ca="1">IF(AND(G2="Delayed",OR(I2&lt;&gt;"",I2&lt;&gt;"None")),IF(J2&lt;&gt;"",IF(J2&lt;&gt;"None",MAX(0,TODAY()-J2),MAX(0,TODAY()-I2)),MAX(0,TODAY()-I2)),"")</f>
        <v/>
      </c>
      <c r="N37" s="71" t="str">
        <f>IF(G2="Completed","✓",IF(G2="Delayed","⚠",IF(G2="In Progress","→",IF(G2="Active","●",""))))</f>
        <v>✓</v>
      </c>
    </row>
    <row r="38" spans="1:14" ht="100.8">
      <c r="A38" s="6" t="s">
        <v>59</v>
      </c>
      <c r="B38" s="27">
        <v>46084</v>
      </c>
      <c r="C38" s="18" t="s">
        <v>204</v>
      </c>
      <c r="D38" s="66" t="s">
        <v>347</v>
      </c>
      <c r="E38" s="7" t="s">
        <v>205</v>
      </c>
      <c r="F38" s="6" t="s">
        <v>241</v>
      </c>
      <c r="G38" s="6" t="s">
        <v>126</v>
      </c>
      <c r="H38" s="18" t="s">
        <v>209</v>
      </c>
      <c r="I38" s="30">
        <v>46051</v>
      </c>
      <c r="J38" s="26"/>
      <c r="K38" s="30">
        <v>46096</v>
      </c>
      <c r="L38" s="31" t="s">
        <v>401</v>
      </c>
      <c r="M38" s="73" t="str">
        <f ca="1">IF(AND(G2="Delayed",OR(I2&lt;&gt;"",I2&lt;&gt;"None")),IF(J2&lt;&gt;"",IF(J2&lt;&gt;"None",MAX(0,TODAY()-J2),MAX(0,TODAY()-I2)),MAX(0,TODAY()-I2)),"")</f>
        <v/>
      </c>
      <c r="N38" s="71" t="str">
        <f>IF(G2="Completed","✓",IF(G2="Delayed","⚠",IF(G2="In Progress","→",IF(G2="Active","●",""))))</f>
        <v>✓</v>
      </c>
    </row>
    <row r="39" spans="1:14" ht="43.2">
      <c r="A39" s="6" t="s">
        <v>60</v>
      </c>
      <c r="B39" s="27">
        <v>46090</v>
      </c>
      <c r="C39" s="18" t="s">
        <v>204</v>
      </c>
      <c r="D39" s="67" t="s">
        <v>348</v>
      </c>
      <c r="E39" s="7" t="s">
        <v>205</v>
      </c>
      <c r="F39" s="6" t="s">
        <v>241</v>
      </c>
      <c r="G39" s="6" t="s">
        <v>126</v>
      </c>
      <c r="H39" s="18" t="s">
        <v>209</v>
      </c>
      <c r="I39" s="30">
        <v>46051</v>
      </c>
      <c r="J39" s="26"/>
      <c r="K39" s="30">
        <v>46113</v>
      </c>
      <c r="L39" s="31" t="s">
        <v>403</v>
      </c>
      <c r="M39" s="73" t="str">
        <f ca="1">IF(AND(G2="Delayed",OR(I2&lt;&gt;"",I2&lt;&gt;"None")),IF(J2&lt;&gt;"",IF(J2&lt;&gt;"None",MAX(0,TODAY()-J2),MAX(0,TODAY()-I2)),MAX(0,TODAY()-I2)),"")</f>
        <v/>
      </c>
      <c r="N39" s="71" t="str">
        <f>IF(G2="Completed","✓",IF(G2="Delayed","⚠",IF(G2="In Progress","→",IF(G2="Active","●",""))))</f>
        <v>✓</v>
      </c>
    </row>
    <row r="40" spans="1:14" ht="72">
      <c r="A40" s="6" t="s">
        <v>61</v>
      </c>
      <c r="B40" s="27">
        <v>46093</v>
      </c>
      <c r="C40" s="18" t="s">
        <v>204</v>
      </c>
      <c r="D40" s="68" t="s">
        <v>349</v>
      </c>
      <c r="E40" s="7" t="s">
        <v>205</v>
      </c>
      <c r="F40" s="6" t="s">
        <v>241</v>
      </c>
      <c r="G40" s="6" t="s">
        <v>126</v>
      </c>
      <c r="H40" s="18" t="s">
        <v>209</v>
      </c>
      <c r="I40" s="30">
        <v>46051</v>
      </c>
      <c r="J40" s="26"/>
      <c r="K40" s="30">
        <v>46113</v>
      </c>
      <c r="L40" s="31" t="s">
        <v>402</v>
      </c>
      <c r="M40" s="73" t="str">
        <f ca="1">IF(AND(G2="Delayed",OR(I2&lt;&gt;"",I2&lt;&gt;"None")),IF(J2&lt;&gt;"",IF(J2&lt;&gt;"None",MAX(0,TODAY()-J2),MAX(0,TODAY()-I2)),MAX(0,TODAY()-I2)),"")</f>
        <v/>
      </c>
      <c r="N40" s="71" t="str">
        <f>IF(G2="Completed","✓",IF(G2="Delayed","⚠",IF(G2="In Progress","→",IF(G2="Active","●",""))))</f>
        <v>✓</v>
      </c>
    </row>
    <row r="41" spans="1:14" s="5" customFormat="1" ht="129.6">
      <c r="A41" s="6" t="s">
        <v>62</v>
      </c>
      <c r="B41" s="27">
        <v>46131</v>
      </c>
      <c r="C41" s="18" t="s">
        <v>273</v>
      </c>
      <c r="D41" s="23" t="s">
        <v>410</v>
      </c>
      <c r="E41" s="7" t="s">
        <v>205</v>
      </c>
      <c r="F41" s="23" t="s">
        <v>237</v>
      </c>
      <c r="G41" s="7" t="s">
        <v>125</v>
      </c>
      <c r="H41" s="20" t="s">
        <v>209</v>
      </c>
      <c r="I41" s="30"/>
      <c r="J41" s="23"/>
      <c r="K41" s="30"/>
      <c r="L41" s="31" t="s">
        <v>411</v>
      </c>
      <c r="M41" s="72" t="str">
        <f ca="1">IF(AND(G2="Delayed",OR(I2&lt;&gt;"",I2&lt;&gt;"None")),IF(J2&lt;&gt;"",IF(J2&lt;&gt;"None",MAX(0,TODAY()-J2),MAX(0,TODAY()-I2)),MAX(0,TODAY()-I2)),"")</f>
        <v/>
      </c>
      <c r="N41" s="8" t="str">
        <f>IF(G2="Completed","✓",IF(G2="Delayed","⚠",IF(G2="In Progress","→",IF(G2="Active","●",""))))</f>
        <v>✓</v>
      </c>
    </row>
    <row r="42" spans="1:14" s="5" customFormat="1" ht="129.6">
      <c r="A42" s="6" t="s">
        <v>63</v>
      </c>
      <c r="B42" s="27">
        <v>46133</v>
      </c>
      <c r="C42" s="18" t="s">
        <v>204</v>
      </c>
      <c r="D42" s="4" t="s">
        <v>413</v>
      </c>
      <c r="E42" s="7" t="s">
        <v>205</v>
      </c>
      <c r="F42" s="23" t="s">
        <v>208</v>
      </c>
      <c r="G42" s="7" t="s">
        <v>121</v>
      </c>
      <c r="H42" s="20" t="s">
        <v>209</v>
      </c>
      <c r="I42" s="30"/>
      <c r="J42" s="23"/>
      <c r="K42" s="30"/>
      <c r="L42" s="31" t="s">
        <v>414</v>
      </c>
      <c r="M42" s="72" t="str">
        <f ca="1">IF(AND(G2="Delayed",OR(I2&lt;&gt;"",I2&lt;&gt;"None")),IF(J2&lt;&gt;"",IF(J2&lt;&gt;"None",MAX(0,TODAY()-J2),MAX(0,TODAY()-I2)),MAX(0,TODAY()-I2)),"")</f>
        <v/>
      </c>
      <c r="N42" s="8" t="str">
        <f>IF(G2="Completed","✓",IF(G2="Delayed","⚠",IF(G2="In Progress","→",IF(G2="Active","●",""))))</f>
        <v>✓</v>
      </c>
    </row>
    <row r="43" spans="1:14">
      <c r="A43" s="6" t="s">
        <v>64</v>
      </c>
      <c r="B43" s="27">
        <v>46095</v>
      </c>
      <c r="C43" s="18" t="s">
        <v>204</v>
      </c>
      <c r="D43" s="23" t="s">
        <v>417</v>
      </c>
      <c r="E43" s="7" t="s">
        <v>205</v>
      </c>
      <c r="F43" s="23" t="s">
        <v>237</v>
      </c>
      <c r="G43" s="7" t="s">
        <v>124</v>
      </c>
      <c r="H43" s="6" t="s">
        <v>55</v>
      </c>
      <c r="I43" s="6"/>
      <c r="J43" s="26"/>
      <c r="L43" s="31" t="s">
        <v>418</v>
      </c>
      <c r="M43" s="73" t="str">
        <f ca="1">IF(AND(G2="Delayed",OR(I2&lt;&gt;"",I2&lt;&gt;"None")),IF(J2&lt;&gt;"",IF(J2&lt;&gt;"None",MAX(0,TODAY()-J2),MAX(0,TODAY()-I2)),MAX(0,TODAY()-I2)),"")</f>
        <v/>
      </c>
      <c r="N43" s="71" t="str">
        <f>IF(G2="Completed","✓",IF(G2="Delayed","⚠",IF(G2="In Progress","→",IF(G2="Active","●",""))))</f>
        <v>✓</v>
      </c>
    </row>
    <row r="44" spans="1:14">
      <c r="A44" s="6" t="s">
        <v>65</v>
      </c>
      <c r="B44" s="27"/>
      <c r="C44" s="18"/>
      <c r="D44" s="23"/>
      <c r="E44" s="7"/>
      <c r="F44" s="26"/>
      <c r="G44" s="7"/>
      <c r="H44" s="21"/>
      <c r="I44" s="30"/>
      <c r="J44" s="26"/>
      <c r="M44" s="73" t="str">
        <f ca="1">IF(AND(G2="Delayed",OR(I2&lt;&gt;"",I2&lt;&gt;"None")),IF(J2&lt;&gt;"",IF(J2&lt;&gt;"None",MAX(0,TODAY()-J2),MAX(0,TODAY()-I2)),MAX(0,TODAY()-I2)),"")</f>
        <v/>
      </c>
      <c r="N44" s="71" t="str">
        <f>IF(G2="Completed","✓",IF(G2="Delayed","⚠",IF(G2="In Progress","→",IF(G2="Active","●",""))))</f>
        <v>✓</v>
      </c>
    </row>
    <row r="45" spans="1:14">
      <c r="A45" s="6" t="s">
        <v>66</v>
      </c>
      <c r="B45" s="27"/>
      <c r="C45" s="18"/>
      <c r="D45" s="23"/>
      <c r="E45" s="7"/>
      <c r="F45" s="26"/>
      <c r="G45" s="7"/>
      <c r="H45" s="21"/>
      <c r="I45" s="30"/>
      <c r="J45" s="26"/>
      <c r="M45" s="73" t="str">
        <f ca="1">IF(AND(G2="Delayed",OR(I2&lt;&gt;"",I2&lt;&gt;"None")),IF(J2&lt;&gt;"",IF(J2&lt;&gt;"None",MAX(0,TODAY()-J2),MAX(0,TODAY()-I2)),MAX(0,TODAY()-I2)),"")</f>
        <v/>
      </c>
      <c r="N45" s="71" t="str">
        <f>IF(G2="Completed","✓",IF(G2="Delayed","⚠",IF(G2="In Progress","→",IF(G2="Active","●",""))))</f>
        <v>✓</v>
      </c>
    </row>
    <row r="46" spans="1:14">
      <c r="A46" s="6" t="s">
        <v>156</v>
      </c>
      <c r="B46" s="27"/>
      <c r="C46" s="18"/>
      <c r="D46" s="23"/>
      <c r="E46" s="7"/>
      <c r="F46" s="26"/>
      <c r="G46" s="7"/>
      <c r="H46" s="21"/>
      <c r="I46" s="30"/>
      <c r="J46" s="26"/>
      <c r="M46" s="73" t="str">
        <f ca="1">IF(AND(G2="Delayed",OR(I2&lt;&gt;"",I2&lt;&gt;"None")),IF(J2&lt;&gt;"",IF(J2&lt;&gt;"None",MAX(0,TODAY()-J2),MAX(0,TODAY()-I2)),MAX(0,TODAY()-I2)),"")</f>
        <v/>
      </c>
      <c r="N46" s="71" t="str">
        <f>IF(G2="Completed","✓",IF(G2="Delayed","⚠",IF(G2="In Progress","→",IF(G2="Active","●",""))))</f>
        <v>✓</v>
      </c>
    </row>
    <row r="47" spans="1:14">
      <c r="A47" s="6" t="s">
        <v>157</v>
      </c>
      <c r="B47" s="27"/>
      <c r="C47" s="18"/>
      <c r="D47" s="23"/>
      <c r="E47" s="7"/>
      <c r="F47" s="26"/>
      <c r="G47" s="7"/>
      <c r="H47" s="21"/>
      <c r="I47" s="30"/>
      <c r="J47" s="26"/>
      <c r="M47" s="73" t="str">
        <f ca="1">IF(AND(G2="Delayed",OR(I2&lt;&gt;"",I2&lt;&gt;"None")),IF(J2&lt;&gt;"",IF(J2&lt;&gt;"None",MAX(0,TODAY()-J2),MAX(0,TODAY()-I2)),MAX(0,TODAY()-I2)),"")</f>
        <v/>
      </c>
      <c r="N47" s="71" t="str">
        <f>IF(G2="Completed","✓",IF(G2="Delayed","⚠",IF(G2="In Progress","→",IF(G2="Active","●",""))))</f>
        <v>✓</v>
      </c>
    </row>
    <row r="48" spans="1:14">
      <c r="A48" s="6" t="s">
        <v>158</v>
      </c>
      <c r="B48" s="27"/>
      <c r="C48" s="18"/>
      <c r="D48" s="23"/>
      <c r="E48" s="7"/>
      <c r="F48" s="26"/>
      <c r="G48" s="7"/>
      <c r="H48" s="21"/>
      <c r="I48" s="30"/>
      <c r="J48" s="26"/>
      <c r="M48" s="73" t="str">
        <f ca="1">IF(AND(G2="Delayed",OR(I2&lt;&gt;"",I2&lt;&gt;"None")),IF(J2&lt;&gt;"",IF(J2&lt;&gt;"None",MAX(0,TODAY()-J2),MAX(0,TODAY()-I2)),MAX(0,TODAY()-I2)),"")</f>
        <v/>
      </c>
      <c r="N48" s="71" t="str">
        <f>IF(G2="Completed","✓",IF(G2="Delayed","⚠",IF(G2="In Progress","→",IF(G2="Active","●",""))))</f>
        <v>✓</v>
      </c>
    </row>
    <row r="49" spans="1:14">
      <c r="A49" s="6" t="s">
        <v>159</v>
      </c>
      <c r="B49" s="27"/>
      <c r="C49" s="18"/>
      <c r="D49" s="37"/>
      <c r="E49" s="7"/>
      <c r="F49" s="26"/>
      <c r="G49" s="7"/>
      <c r="H49" s="21"/>
      <c r="I49" s="30"/>
      <c r="J49" s="26"/>
      <c r="M49" s="73" t="str">
        <f ca="1">IF(AND(G2="Delayed",OR(I2&lt;&gt;"",I2&lt;&gt;"None")),IF(J2&lt;&gt;"",IF(J2&lt;&gt;"None",MAX(0,TODAY()-J2),MAX(0,TODAY()-I2)),MAX(0,TODAY()-I2)),"")</f>
        <v/>
      </c>
      <c r="N49" s="71" t="str">
        <f>IF(G2="Completed","✓",IF(G2="Delayed","⚠",IF(G2="In Progress","→",IF(G2="Active","●",""))))</f>
        <v>✓</v>
      </c>
    </row>
    <row r="50" spans="1:14">
      <c r="A50" s="6" t="s">
        <v>160</v>
      </c>
      <c r="B50" s="27"/>
      <c r="C50" s="18"/>
      <c r="D50" s="23"/>
      <c r="E50" s="7"/>
      <c r="F50" s="26"/>
      <c r="G50" s="7"/>
      <c r="H50" s="21"/>
      <c r="I50" s="30"/>
      <c r="J50" s="26"/>
      <c r="M50" s="73" t="str">
        <f ca="1">IF(AND(G2="Delayed",OR(I2&lt;&gt;"",I2&lt;&gt;"None")),IF(J2&lt;&gt;"",IF(J2&lt;&gt;"None",MAX(0,TODAY()-J2),MAX(0,TODAY()-I2)),MAX(0,TODAY()-I2)),"")</f>
        <v/>
      </c>
      <c r="N50" s="71" t="str">
        <f>IF(G2="Completed","✓",IF(G2="Delayed","⚠",IF(G2="In Progress","→",IF(G2="Active","●",""))))</f>
        <v>✓</v>
      </c>
    </row>
    <row r="51" spans="1:14">
      <c r="A51" s="6" t="s">
        <v>161</v>
      </c>
      <c r="B51" s="27"/>
      <c r="C51" s="18"/>
      <c r="D51" s="23"/>
      <c r="E51" s="7"/>
      <c r="F51" s="26"/>
      <c r="G51" s="7"/>
      <c r="H51" s="21"/>
      <c r="I51" s="30"/>
      <c r="J51" s="26"/>
      <c r="M51" s="73" t="str">
        <f ca="1">IF(AND(G2="Delayed",OR(I2&lt;&gt;"",I2&lt;&gt;"None")),IF(J2&lt;&gt;"",IF(J2&lt;&gt;"None",MAX(0,TODAY()-J2),MAX(0,TODAY()-I2)),MAX(0,TODAY()-I2)),"")</f>
        <v/>
      </c>
      <c r="N51" s="71" t="str">
        <f>IF(G2="Completed","✓",IF(G2="Delayed","⚠",IF(G2="In Progress","→",IF(G2="Active","●",""))))</f>
        <v>✓</v>
      </c>
    </row>
    <row r="52" spans="1:14">
      <c r="A52" s="6" t="s">
        <v>162</v>
      </c>
      <c r="B52" s="27"/>
      <c r="C52" s="18"/>
      <c r="D52" s="23"/>
      <c r="E52" s="7"/>
      <c r="F52" s="26"/>
      <c r="G52" s="7"/>
      <c r="H52" s="21"/>
      <c r="I52" s="30"/>
      <c r="J52" s="26"/>
      <c r="M52" s="73" t="str">
        <f ca="1">IF(AND(G2="Delayed",OR(I2&lt;&gt;"",I2&lt;&gt;"None")),IF(J2&lt;&gt;"",IF(J2&lt;&gt;"None",MAX(0,TODAY()-J2),MAX(0,TODAY()-I2)),MAX(0,TODAY()-I2)),"")</f>
        <v/>
      </c>
      <c r="N52" s="71" t="str">
        <f>IF(G2="Completed","✓",IF(G2="Delayed","⚠",IF(G2="In Progress","→",IF(G2="Active","●",""))))</f>
        <v>✓</v>
      </c>
    </row>
    <row r="53" spans="1:14">
      <c r="A53" s="6" t="s">
        <v>163</v>
      </c>
      <c r="B53" s="27"/>
      <c r="C53" s="18"/>
      <c r="D53" s="23"/>
      <c r="E53" s="7"/>
      <c r="F53" s="26"/>
      <c r="G53" s="7"/>
      <c r="H53" s="21"/>
      <c r="I53" s="30"/>
      <c r="J53" s="26"/>
      <c r="M53" s="73" t="str">
        <f ca="1">IF(AND(G2="Delayed",OR(I2&lt;&gt;"",I2&lt;&gt;"None")),IF(J2&lt;&gt;"",IF(J2&lt;&gt;"None",MAX(0,TODAY()-J2),MAX(0,TODAY()-I2)),MAX(0,TODAY()-I2)),"")</f>
        <v/>
      </c>
      <c r="N53" s="71" t="str">
        <f>IF(G2="Completed","✓",IF(G2="Delayed","⚠",IF(G2="In Progress","→",IF(G2="Active","●",""))))</f>
        <v>✓</v>
      </c>
    </row>
    <row r="54" spans="1:14">
      <c r="A54" s="6" t="s">
        <v>164</v>
      </c>
      <c r="B54" s="27"/>
      <c r="C54" s="18"/>
      <c r="D54" s="23"/>
      <c r="E54" s="7"/>
      <c r="F54" s="26"/>
      <c r="G54" s="7"/>
      <c r="H54" s="21"/>
      <c r="I54" s="30"/>
      <c r="J54" s="26"/>
      <c r="M54" s="73" t="str">
        <f ca="1">IF(AND(G2="Delayed",OR(I2&lt;&gt;"",I2&lt;&gt;"None")),IF(J2&lt;&gt;"",IF(J2&lt;&gt;"None",MAX(0,TODAY()-J2),MAX(0,TODAY()-I2)),MAX(0,TODAY()-I2)),"")</f>
        <v/>
      </c>
      <c r="N54" s="71" t="str">
        <f>IF(G2="Completed","✓",IF(G2="Delayed","⚠",IF(G2="In Progress","→",IF(G2="Active","●",""))))</f>
        <v>✓</v>
      </c>
    </row>
    <row r="55" spans="1:14">
      <c r="A55" s="6" t="s">
        <v>165</v>
      </c>
      <c r="B55" s="27"/>
      <c r="C55" s="18"/>
      <c r="D55" s="23"/>
      <c r="E55" s="7"/>
      <c r="F55" s="26"/>
      <c r="G55" s="7"/>
      <c r="H55" s="21"/>
      <c r="I55" s="30"/>
      <c r="J55" s="26"/>
      <c r="M55" s="73" t="str">
        <f ca="1">IF(AND(G2="Delayed",OR(I2&lt;&gt;"",I2&lt;&gt;"None")),IF(J2&lt;&gt;"",IF(J2&lt;&gt;"None",MAX(0,TODAY()-J2),MAX(0,TODAY()-I2)),MAX(0,TODAY()-I2)),"")</f>
        <v/>
      </c>
      <c r="N55" s="71" t="str">
        <f>IF(G2="Completed","✓",IF(G2="Delayed","⚠",IF(G2="In Progress","→",IF(G2="Active","●",""))))</f>
        <v>✓</v>
      </c>
    </row>
    <row r="56" spans="1:14">
      <c r="A56" s="6" t="s">
        <v>166</v>
      </c>
      <c r="B56" s="27"/>
      <c r="C56" s="18"/>
      <c r="D56" s="23"/>
      <c r="E56" s="7"/>
      <c r="F56" s="26"/>
      <c r="G56" s="7"/>
      <c r="H56" s="21"/>
      <c r="I56" s="30"/>
      <c r="J56" s="26"/>
      <c r="M56" s="73" t="str">
        <f ca="1">IF(AND(G2="Delayed",OR(I2&lt;&gt;"",I2&lt;&gt;"None")),IF(J2&lt;&gt;"",IF(J2&lt;&gt;"None",MAX(0,TODAY()-J2),MAX(0,TODAY()-I2)),MAX(0,TODAY()-I2)),"")</f>
        <v/>
      </c>
      <c r="N56" s="71" t="str">
        <f>IF(G2="Completed","✓",IF(G2="Delayed","⚠",IF(G2="In Progress","→",IF(G2="Active","●",""))))</f>
        <v>✓</v>
      </c>
    </row>
    <row r="57" spans="1:14">
      <c r="A57" s="6" t="s">
        <v>167</v>
      </c>
      <c r="B57" s="27"/>
      <c r="C57" s="18"/>
      <c r="D57" s="23"/>
      <c r="E57" s="7"/>
      <c r="F57" s="26"/>
      <c r="G57" s="7"/>
      <c r="H57" s="21"/>
      <c r="I57" s="30"/>
      <c r="J57" s="26"/>
      <c r="M57" s="73" t="str">
        <f ca="1">IF(AND(G2="Delayed",OR(I2&lt;&gt;"",I2&lt;&gt;"None")),IF(J2&lt;&gt;"",IF(J2&lt;&gt;"None",MAX(0,TODAY()-J2),MAX(0,TODAY()-I2)),MAX(0,TODAY()-I2)),"")</f>
        <v/>
      </c>
      <c r="N57" s="71" t="str">
        <f>IF(G2="Completed","✓",IF(G2="Delayed","⚠",IF(G2="In Progress","→",IF(G2="Active","●",""))))</f>
        <v>✓</v>
      </c>
    </row>
    <row r="58" spans="1:14">
      <c r="A58" s="6" t="s">
        <v>168</v>
      </c>
      <c r="B58" s="27"/>
      <c r="C58" s="18"/>
      <c r="D58" s="23"/>
      <c r="E58" s="7"/>
      <c r="F58" s="26"/>
      <c r="G58" s="7"/>
      <c r="H58" s="21"/>
      <c r="I58" s="30"/>
      <c r="J58" s="26"/>
      <c r="M58" s="73" t="str">
        <f ca="1">IF(AND(G2="Delayed",OR(I2&lt;&gt;"",I2&lt;&gt;"None")),IF(J2&lt;&gt;"",IF(J2&lt;&gt;"None",MAX(0,TODAY()-J2),MAX(0,TODAY()-I2)),MAX(0,TODAY()-I2)),"")</f>
        <v/>
      </c>
      <c r="N58" s="71" t="str">
        <f>IF(G2="Completed","✓",IF(G2="Delayed","⚠",IF(G2="In Progress","→",IF(G2="Active","●",""))))</f>
        <v>✓</v>
      </c>
    </row>
    <row r="59" spans="1:14">
      <c r="A59" s="6" t="s">
        <v>169</v>
      </c>
      <c r="B59" s="27"/>
      <c r="C59" s="18"/>
      <c r="D59" s="23"/>
      <c r="E59" s="7"/>
      <c r="F59" s="26"/>
      <c r="G59" s="7"/>
      <c r="H59" s="21"/>
      <c r="I59" s="30"/>
      <c r="J59" s="26"/>
      <c r="M59" s="73" t="str">
        <f ca="1">IF(AND(G2="Delayed",OR(I2&lt;&gt;"",I2&lt;&gt;"None")),IF(J2&lt;&gt;"",IF(J2&lt;&gt;"None",MAX(0,TODAY()-J2),MAX(0,TODAY()-I2)),MAX(0,TODAY()-I2)),"")</f>
        <v/>
      </c>
      <c r="N59" s="71" t="str">
        <f>IF(G2="Completed","✓",IF(G2="Delayed","⚠",IF(G2="In Progress","→",IF(G2="Active","●",""))))</f>
        <v>✓</v>
      </c>
    </row>
    <row r="60" spans="1:14">
      <c r="A60" s="6" t="s">
        <v>170</v>
      </c>
      <c r="B60" s="27"/>
      <c r="C60" s="18"/>
      <c r="D60" s="37"/>
      <c r="E60" s="7"/>
      <c r="F60" s="26"/>
      <c r="G60" s="7"/>
      <c r="H60" s="21"/>
      <c r="I60" s="30"/>
      <c r="J60" s="26"/>
      <c r="M60" s="73" t="str">
        <f ca="1">IF(AND(G2="Delayed",OR(I2&lt;&gt;"",I2&lt;&gt;"None")),IF(J2&lt;&gt;"",IF(J2&lt;&gt;"None",MAX(0,TODAY()-J2),MAX(0,TODAY()-I2)),MAX(0,TODAY()-I2)),"")</f>
        <v/>
      </c>
      <c r="N60" s="71" t="str">
        <f>IF(G2="Completed","✓",IF(G2="Delayed","⚠",IF(G2="In Progress","→",IF(G2="Active","●",""))))</f>
        <v>✓</v>
      </c>
    </row>
    <row r="61" spans="1:14">
      <c r="A61" s="26"/>
      <c r="B61" s="26"/>
      <c r="C61" s="26"/>
      <c r="D61" s="23"/>
      <c r="E61" s="23"/>
      <c r="F61" s="26"/>
      <c r="G61" s="7"/>
      <c r="H61" s="21"/>
      <c r="I61" s="30"/>
      <c r="J61" s="26"/>
      <c r="M61" s="73" t="str">
        <f ca="1">IF(AND(G2="Delayed",OR(I2&lt;&gt;"",I2&lt;&gt;"None")),IF(J2&lt;&gt;"",IF(J2&lt;&gt;"None",MAX(0,TODAY()-J2),MAX(0,TODAY()-I2)),MAX(0,TODAY()-I2)),"")</f>
        <v/>
      </c>
      <c r="N61" s="71" t="str">
        <f>IF(G2="Completed","✓",IF(G2="Delayed","⚠",IF(G2="In Progress","→",IF(G2="Active","●",""))))</f>
        <v>✓</v>
      </c>
    </row>
    <row r="62" spans="1:14">
      <c r="A62" s="26"/>
      <c r="B62" s="26"/>
      <c r="C62" s="26"/>
      <c r="D62" s="23"/>
      <c r="E62" s="23"/>
      <c r="F62" s="26"/>
      <c r="G62" s="7"/>
      <c r="H62" s="21"/>
      <c r="I62" s="30"/>
      <c r="J62" s="26"/>
      <c r="M62" s="73" t="str">
        <f ca="1">IF(AND(G2="Delayed",OR(I2&lt;&gt;"",I2&lt;&gt;"None")),IF(J2&lt;&gt;"",IF(J2&lt;&gt;"None",MAX(0,TODAY()-J2),MAX(0,TODAY()-I2)),MAX(0,TODAY()-I2)),"")</f>
        <v/>
      </c>
      <c r="N62" s="71" t="str">
        <f>IF(G2="Completed","✓",IF(G2="Delayed","⚠",IF(G2="In Progress","→",IF(G2="Active","●",""))))</f>
        <v>✓</v>
      </c>
    </row>
    <row r="63" spans="1:14">
      <c r="A63" s="26"/>
      <c r="B63" s="26"/>
      <c r="C63" s="26"/>
      <c r="D63" s="23"/>
      <c r="E63" s="23"/>
      <c r="F63" s="26"/>
      <c r="G63" s="7"/>
      <c r="H63" s="21"/>
      <c r="I63" s="30"/>
      <c r="J63" s="26"/>
      <c r="M63" s="73" t="str">
        <f ca="1">IF(AND(G2="Delayed",OR(I2&lt;&gt;"",I2&lt;&gt;"None")),IF(J2&lt;&gt;"",IF(J2&lt;&gt;"None",MAX(0,TODAY()-J2),MAX(0,TODAY()-I2)),MAX(0,TODAY()-I2)),"")</f>
        <v/>
      </c>
      <c r="N63" s="71" t="str">
        <f>IF(G2="Completed","✓",IF(G2="Delayed","⚠",IF(G2="In Progress","→",IF(G2="Active","●",""))))</f>
        <v>✓</v>
      </c>
    </row>
    <row r="64" spans="1:14">
      <c r="I64" s="30"/>
    </row>
    <row r="65" spans="9:9">
      <c r="I65" s="30"/>
    </row>
    <row r="66" spans="9:9">
      <c r="I66" s="30"/>
    </row>
    <row r="67" spans="9:9">
      <c r="I67" s="30"/>
    </row>
    <row r="68" spans="9:9">
      <c r="I68" s="30"/>
    </row>
    <row r="69" spans="9:9">
      <c r="I69" s="30"/>
    </row>
    <row r="70" spans="9:9">
      <c r="I70" s="30"/>
    </row>
    <row r="71" spans="9:9">
      <c r="I71" s="30"/>
    </row>
    <row r="72" spans="9:9">
      <c r="I72" s="30"/>
    </row>
    <row r="73" spans="9:9">
      <c r="I73" s="30"/>
    </row>
    <row r="74" spans="9:9">
      <c r="I74" s="30"/>
    </row>
    <row r="75" spans="9:9">
      <c r="I75" s="30"/>
    </row>
    <row r="76" spans="9:9">
      <c r="I76" s="30"/>
    </row>
    <row r="77" spans="9:9">
      <c r="I77" s="30"/>
    </row>
    <row r="78" spans="9:9">
      <c r="I78" s="30"/>
    </row>
    <row r="79" spans="9:9">
      <c r="I79" s="30"/>
    </row>
    <row r="80" spans="9:9">
      <c r="I80" s="30"/>
    </row>
    <row r="81" spans="9:9">
      <c r="I81" s="30"/>
    </row>
    <row r="82" spans="9:9">
      <c r="I82" s="30"/>
    </row>
    <row r="83" spans="9:9">
      <c r="I83" s="30"/>
    </row>
    <row r="84" spans="9:9">
      <c r="I84" s="30"/>
    </row>
    <row r="85" spans="9:9">
      <c r="I85" s="30"/>
    </row>
    <row r="86" spans="9:9">
      <c r="I86" s="30"/>
    </row>
    <row r="87" spans="9:9">
      <c r="I87" s="30"/>
    </row>
    <row r="88" spans="9:9">
      <c r="I88" s="30"/>
    </row>
    <row r="89" spans="9:9">
      <c r="I89" s="30"/>
    </row>
    <row r="90" spans="9:9">
      <c r="I90" s="30"/>
    </row>
    <row r="91" spans="9:9">
      <c r="I91" s="30"/>
    </row>
    <row r="92" spans="9:9">
      <c r="I92" s="30"/>
    </row>
    <row r="93" spans="9:9">
      <c r="I93" s="30"/>
    </row>
    <row r="94" spans="9:9">
      <c r="I94" s="30"/>
    </row>
    <row r="95" spans="9:9">
      <c r="I95" s="30"/>
    </row>
    <row r="96" spans="9:9">
      <c r="I96" s="30"/>
    </row>
    <row r="97" spans="9:9">
      <c r="I97" s="30"/>
    </row>
    <row r="98" spans="9:9">
      <c r="I98" s="30"/>
    </row>
    <row r="99" spans="9:9">
      <c r="I99" s="30"/>
    </row>
    <row r="100" spans="9:9">
      <c r="I100" s="30"/>
    </row>
    <row r="101" spans="9:9">
      <c r="I101" s="30"/>
    </row>
    <row r="102" spans="9:9">
      <c r="I102" s="30"/>
    </row>
    <row r="103" spans="9:9">
      <c r="I103" s="30"/>
    </row>
    <row r="104" spans="9:9">
      <c r="I104" s="30"/>
    </row>
    <row r="105" spans="9:9">
      <c r="I105" s="30"/>
    </row>
    <row r="106" spans="9:9">
      <c r="I106" s="30"/>
    </row>
    <row r="107" spans="9:9">
      <c r="I107" s="30"/>
    </row>
    <row r="108" spans="9:9">
      <c r="I108" s="30"/>
    </row>
    <row r="109" spans="9:9">
      <c r="I109" s="30"/>
    </row>
    <row r="110" spans="9:9">
      <c r="I110" s="30"/>
    </row>
    <row r="111" spans="9:9">
      <c r="I111" s="30"/>
    </row>
    <row r="112" spans="9:9">
      <c r="I112" s="30"/>
    </row>
    <row r="113" spans="9:9">
      <c r="I113" s="30"/>
    </row>
    <row r="114" spans="9:9">
      <c r="I114" s="30"/>
    </row>
    <row r="115" spans="9:9">
      <c r="I115" s="30"/>
    </row>
    <row r="116" spans="9:9">
      <c r="I116" s="30"/>
    </row>
    <row r="117" spans="9:9">
      <c r="I117" s="30"/>
    </row>
    <row r="118" spans="9:9">
      <c r="I118" s="30"/>
    </row>
    <row r="119" spans="9:9">
      <c r="I119" s="30"/>
    </row>
    <row r="120" spans="9:9">
      <c r="I120" s="30"/>
    </row>
    <row r="121" spans="9:9">
      <c r="I121" s="30"/>
    </row>
    <row r="122" spans="9:9">
      <c r="I122" s="30"/>
    </row>
    <row r="123" spans="9:9">
      <c r="I123" s="30"/>
    </row>
    <row r="124" spans="9:9">
      <c r="I124" s="30"/>
    </row>
    <row r="125" spans="9:9">
      <c r="I125" s="30"/>
    </row>
    <row r="126" spans="9:9">
      <c r="I126" s="30"/>
    </row>
    <row r="127" spans="9:9">
      <c r="I127" s="30"/>
    </row>
    <row r="128" spans="9:9">
      <c r="I128" s="30"/>
    </row>
    <row r="129" spans="9:9">
      <c r="I129" s="30"/>
    </row>
    <row r="130" spans="9:9">
      <c r="I130" s="30"/>
    </row>
    <row r="131" spans="9:9">
      <c r="I131" s="30"/>
    </row>
    <row r="132" spans="9:9">
      <c r="I132" s="30"/>
    </row>
    <row r="133" spans="9:9">
      <c r="I133" s="30"/>
    </row>
    <row r="134" spans="9:9">
      <c r="I134" s="30"/>
    </row>
    <row r="135" spans="9:9">
      <c r="I135" s="30"/>
    </row>
    <row r="136" spans="9:9">
      <c r="I136" s="30"/>
    </row>
    <row r="137" spans="9:9">
      <c r="I137" s="30"/>
    </row>
    <row r="138" spans="9:9">
      <c r="I138" s="30"/>
    </row>
    <row r="139" spans="9:9">
      <c r="I139" s="30"/>
    </row>
    <row r="140" spans="9:9">
      <c r="I140" s="30"/>
    </row>
    <row r="141" spans="9:9">
      <c r="I141" s="30"/>
    </row>
    <row r="142" spans="9:9">
      <c r="I142" s="30"/>
    </row>
    <row r="143" spans="9:9">
      <c r="I143" s="30"/>
    </row>
    <row r="144" spans="9:9">
      <c r="I144" s="30"/>
    </row>
    <row r="145" spans="9:9">
      <c r="I145" s="30"/>
    </row>
    <row r="146" spans="9:9">
      <c r="I146" s="30"/>
    </row>
    <row r="147" spans="9:9">
      <c r="I147" s="30"/>
    </row>
    <row r="148" spans="9:9">
      <c r="I148" s="30"/>
    </row>
    <row r="149" spans="9:9">
      <c r="I149" s="30"/>
    </row>
    <row r="150" spans="9:9">
      <c r="I150" s="30"/>
    </row>
    <row r="151" spans="9:9">
      <c r="I151" s="30"/>
    </row>
    <row r="152" spans="9:9">
      <c r="I152" s="30"/>
    </row>
    <row r="153" spans="9:9">
      <c r="I153" s="30"/>
    </row>
    <row r="154" spans="9:9">
      <c r="I154" s="30"/>
    </row>
    <row r="155" spans="9:9">
      <c r="I155" s="30"/>
    </row>
    <row r="156" spans="9:9">
      <c r="I156" s="30"/>
    </row>
    <row r="157" spans="9:9">
      <c r="I157" s="30"/>
    </row>
    <row r="158" spans="9:9">
      <c r="I158" s="30"/>
    </row>
    <row r="159" spans="9:9">
      <c r="I159" s="30"/>
    </row>
    <row r="160" spans="9:9">
      <c r="I160" s="30"/>
    </row>
    <row r="161" spans="9:9">
      <c r="I161" s="30"/>
    </row>
    <row r="162" spans="9:9">
      <c r="I162" s="30"/>
    </row>
    <row r="163" spans="9:9">
      <c r="I163" s="30"/>
    </row>
    <row r="164" spans="9:9">
      <c r="I164" s="30"/>
    </row>
    <row r="165" spans="9:9">
      <c r="I165" s="30"/>
    </row>
    <row r="166" spans="9:9">
      <c r="I166" s="30"/>
    </row>
    <row r="167" spans="9:9">
      <c r="I167" s="30"/>
    </row>
    <row r="168" spans="9:9">
      <c r="I168" s="30"/>
    </row>
    <row r="169" spans="9:9">
      <c r="I169" s="30"/>
    </row>
    <row r="170" spans="9:9">
      <c r="I170" s="30"/>
    </row>
    <row r="171" spans="9:9">
      <c r="I171" s="30"/>
    </row>
    <row r="172" spans="9:9">
      <c r="I172" s="30"/>
    </row>
    <row r="173" spans="9:9">
      <c r="I173" s="30"/>
    </row>
    <row r="174" spans="9:9">
      <c r="I174" s="30"/>
    </row>
    <row r="175" spans="9:9">
      <c r="I175" s="30"/>
    </row>
    <row r="176" spans="9:9">
      <c r="I176" s="30"/>
    </row>
    <row r="177" spans="9:9">
      <c r="I177" s="30"/>
    </row>
    <row r="178" spans="9:9">
      <c r="I178" s="30"/>
    </row>
    <row r="179" spans="9:9">
      <c r="I179" s="30"/>
    </row>
    <row r="180" spans="9:9">
      <c r="I180" s="30"/>
    </row>
    <row r="181" spans="9:9">
      <c r="I181" s="30"/>
    </row>
    <row r="182" spans="9:9">
      <c r="I182" s="30"/>
    </row>
    <row r="183" spans="9:9">
      <c r="I183" s="30"/>
    </row>
    <row r="184" spans="9:9">
      <c r="I184" s="30"/>
    </row>
    <row r="185" spans="9:9">
      <c r="I185" s="30"/>
    </row>
    <row r="186" spans="9:9">
      <c r="I186" s="30"/>
    </row>
    <row r="187" spans="9:9">
      <c r="I187" s="30"/>
    </row>
    <row r="188" spans="9:9">
      <c r="I188" s="30"/>
    </row>
    <row r="189" spans="9:9">
      <c r="I189" s="30"/>
    </row>
    <row r="190" spans="9:9">
      <c r="I190" s="30"/>
    </row>
    <row r="191" spans="9:9">
      <c r="I191" s="30"/>
    </row>
    <row r="192" spans="9:9">
      <c r="I192" s="30"/>
    </row>
    <row r="193" spans="9:9">
      <c r="I193" s="30"/>
    </row>
    <row r="194" spans="9:9">
      <c r="I194" s="30"/>
    </row>
    <row r="195" spans="9:9">
      <c r="I195" s="30"/>
    </row>
    <row r="196" spans="9:9">
      <c r="I196" s="30"/>
    </row>
    <row r="197" spans="9:9">
      <c r="I197" s="30"/>
    </row>
    <row r="198" spans="9:9">
      <c r="I198" s="30"/>
    </row>
    <row r="199" spans="9:9">
      <c r="I199" s="30"/>
    </row>
    <row r="200" spans="9:9">
      <c r="I200" s="30"/>
    </row>
    <row r="201" spans="9:9">
      <c r="I201" s="30"/>
    </row>
    <row r="202" spans="9:9">
      <c r="I202" s="30"/>
    </row>
    <row r="203" spans="9:9">
      <c r="I203" s="30"/>
    </row>
    <row r="204" spans="9:9">
      <c r="I204" s="30"/>
    </row>
    <row r="205" spans="9:9">
      <c r="I205" s="30"/>
    </row>
    <row r="206" spans="9:9">
      <c r="I206" s="30"/>
    </row>
    <row r="207" spans="9:9">
      <c r="I207" s="30"/>
    </row>
    <row r="208" spans="9:9">
      <c r="I208" s="30"/>
    </row>
    <row r="209" spans="9:9">
      <c r="I209" s="30"/>
    </row>
    <row r="210" spans="9:9">
      <c r="I210" s="30"/>
    </row>
    <row r="211" spans="9:9">
      <c r="I211" s="30"/>
    </row>
    <row r="212" spans="9:9">
      <c r="I212" s="30"/>
    </row>
    <row r="213" spans="9:9">
      <c r="I213" s="30"/>
    </row>
    <row r="214" spans="9:9">
      <c r="I214" s="30"/>
    </row>
    <row r="215" spans="9:9">
      <c r="I215" s="30"/>
    </row>
    <row r="216" spans="9:9">
      <c r="I216" s="30"/>
    </row>
    <row r="217" spans="9:9">
      <c r="I217" s="30"/>
    </row>
    <row r="218" spans="9:9">
      <c r="I218" s="30"/>
    </row>
    <row r="219" spans="9:9">
      <c r="I219" s="30"/>
    </row>
    <row r="220" spans="9:9">
      <c r="I220" s="30"/>
    </row>
    <row r="221" spans="9:9">
      <c r="I221" s="30"/>
    </row>
    <row r="222" spans="9:9">
      <c r="I222" s="30"/>
    </row>
    <row r="223" spans="9:9">
      <c r="I223" s="30"/>
    </row>
    <row r="224" spans="9:9">
      <c r="I224" s="30"/>
    </row>
    <row r="225" spans="9:9">
      <c r="I225" s="30"/>
    </row>
    <row r="226" spans="9:9">
      <c r="I226" s="30"/>
    </row>
    <row r="227" spans="9:9">
      <c r="I227" s="30"/>
    </row>
    <row r="228" spans="9:9">
      <c r="I228" s="30"/>
    </row>
    <row r="229" spans="9:9">
      <c r="I229" s="30"/>
    </row>
    <row r="230" spans="9:9">
      <c r="I230" s="30"/>
    </row>
    <row r="231" spans="9:9">
      <c r="I231" s="30"/>
    </row>
    <row r="232" spans="9:9">
      <c r="I232" s="30"/>
    </row>
    <row r="233" spans="9:9">
      <c r="I233" s="30"/>
    </row>
    <row r="234" spans="9:9">
      <c r="I234" s="30"/>
    </row>
    <row r="235" spans="9:9">
      <c r="I235" s="30"/>
    </row>
    <row r="236" spans="9:9">
      <c r="I236" s="30"/>
    </row>
    <row r="237" spans="9:9">
      <c r="I237" s="30"/>
    </row>
    <row r="238" spans="9:9">
      <c r="I238" s="30"/>
    </row>
    <row r="239" spans="9:9">
      <c r="I239" s="30"/>
    </row>
    <row r="240" spans="9:9">
      <c r="I240" s="30"/>
    </row>
    <row r="241" spans="9:9">
      <c r="I241" s="30"/>
    </row>
    <row r="242" spans="9:9">
      <c r="I242" s="30"/>
    </row>
    <row r="243" spans="9:9">
      <c r="I243" s="30"/>
    </row>
    <row r="244" spans="9:9">
      <c r="I244" s="30"/>
    </row>
    <row r="245" spans="9:9">
      <c r="I245" s="30"/>
    </row>
    <row r="246" spans="9:9">
      <c r="I246" s="30"/>
    </row>
    <row r="247" spans="9:9">
      <c r="I247" s="30"/>
    </row>
    <row r="248" spans="9:9">
      <c r="I248" s="30"/>
    </row>
    <row r="249" spans="9:9">
      <c r="I249" s="30"/>
    </row>
    <row r="250" spans="9:9">
      <c r="I250" s="30"/>
    </row>
    <row r="251" spans="9:9">
      <c r="I251" s="30"/>
    </row>
    <row r="252" spans="9:9">
      <c r="I252" s="30"/>
    </row>
    <row r="253" spans="9:9">
      <c r="I253" s="30"/>
    </row>
    <row r="254" spans="9:9">
      <c r="I254" s="30"/>
    </row>
    <row r="255" spans="9:9">
      <c r="I255" s="30"/>
    </row>
    <row r="256" spans="9:9">
      <c r="I256" s="30"/>
    </row>
    <row r="257" spans="9:9">
      <c r="I257" s="30"/>
    </row>
    <row r="258" spans="9:9">
      <c r="I258" s="30"/>
    </row>
    <row r="259" spans="9:9">
      <c r="I259" s="30"/>
    </row>
    <row r="260" spans="9:9">
      <c r="I260" s="30"/>
    </row>
    <row r="261" spans="9:9">
      <c r="I261" s="30"/>
    </row>
    <row r="262" spans="9:9">
      <c r="I262" s="30"/>
    </row>
    <row r="263" spans="9:9">
      <c r="I263" s="30"/>
    </row>
    <row r="264" spans="9:9">
      <c r="I264" s="30"/>
    </row>
    <row r="265" spans="9:9">
      <c r="I265" s="30"/>
    </row>
    <row r="266" spans="9:9">
      <c r="I266" s="30"/>
    </row>
    <row r="267" spans="9:9">
      <c r="I267" s="30"/>
    </row>
    <row r="268" spans="9:9">
      <c r="I268" s="30"/>
    </row>
    <row r="269" spans="9:9">
      <c r="I269" s="30"/>
    </row>
    <row r="270" spans="9:9">
      <c r="I270" s="30"/>
    </row>
    <row r="271" spans="9:9">
      <c r="I271" s="30"/>
    </row>
    <row r="272" spans="9:9">
      <c r="I272" s="30"/>
    </row>
    <row r="273" spans="9:9">
      <c r="I273" s="30"/>
    </row>
    <row r="274" spans="9:9">
      <c r="I274" s="30"/>
    </row>
    <row r="275" spans="9:9">
      <c r="I275" s="30"/>
    </row>
    <row r="276" spans="9:9">
      <c r="I276" s="30"/>
    </row>
    <row r="277" spans="9:9">
      <c r="I277" s="30"/>
    </row>
    <row r="278" spans="9:9">
      <c r="I278" s="30"/>
    </row>
    <row r="279" spans="9:9">
      <c r="I279" s="30"/>
    </row>
    <row r="280" spans="9:9">
      <c r="I280" s="30"/>
    </row>
    <row r="281" spans="9:9">
      <c r="I281" s="30"/>
    </row>
    <row r="282" spans="9:9">
      <c r="I282" s="30"/>
    </row>
    <row r="283" spans="9:9">
      <c r="I283" s="30"/>
    </row>
    <row r="284" spans="9:9">
      <c r="I284" s="30"/>
    </row>
    <row r="285" spans="9:9">
      <c r="I285" s="30"/>
    </row>
    <row r="286" spans="9:9">
      <c r="I286" s="30"/>
    </row>
    <row r="287" spans="9:9">
      <c r="I287" s="30"/>
    </row>
    <row r="288" spans="9:9">
      <c r="I288" s="30"/>
    </row>
    <row r="289" spans="9:9">
      <c r="I289" s="30"/>
    </row>
    <row r="290" spans="9:9">
      <c r="I290" s="30"/>
    </row>
    <row r="291" spans="9:9">
      <c r="I291" s="30"/>
    </row>
    <row r="292" spans="9:9">
      <c r="I292" s="30"/>
    </row>
    <row r="293" spans="9:9">
      <c r="I293" s="30"/>
    </row>
    <row r="294" spans="9:9">
      <c r="I294" s="30"/>
    </row>
    <row r="295" spans="9:9">
      <c r="I295" s="30"/>
    </row>
    <row r="296" spans="9:9">
      <c r="I296" s="30"/>
    </row>
    <row r="297" spans="9:9">
      <c r="I297" s="30"/>
    </row>
    <row r="298" spans="9:9">
      <c r="I298" s="30"/>
    </row>
    <row r="299" spans="9:9">
      <c r="I299" s="30"/>
    </row>
    <row r="300" spans="9:9">
      <c r="I300" s="30"/>
    </row>
    <row r="301" spans="9:9">
      <c r="I301" s="30"/>
    </row>
    <row r="302" spans="9:9">
      <c r="I302" s="30"/>
    </row>
    <row r="303" spans="9:9">
      <c r="I303" s="30"/>
    </row>
    <row r="304" spans="9:9">
      <c r="I304" s="30"/>
    </row>
    <row r="305" spans="9:9">
      <c r="I305" s="30"/>
    </row>
    <row r="306" spans="9:9">
      <c r="I306" s="30"/>
    </row>
    <row r="307" spans="9:9">
      <c r="I307" s="30"/>
    </row>
    <row r="308" spans="9:9">
      <c r="I308" s="30"/>
    </row>
    <row r="309" spans="9:9">
      <c r="I309" s="30"/>
    </row>
    <row r="310" spans="9:9">
      <c r="I310" s="30"/>
    </row>
    <row r="311" spans="9:9">
      <c r="I311" s="30"/>
    </row>
    <row r="312" spans="9:9">
      <c r="I312" s="30"/>
    </row>
    <row r="313" spans="9:9">
      <c r="I313" s="30"/>
    </row>
    <row r="314" spans="9:9">
      <c r="I314" s="30"/>
    </row>
    <row r="315" spans="9:9">
      <c r="I315" s="30"/>
    </row>
    <row r="316" spans="9:9">
      <c r="I316" s="30"/>
    </row>
    <row r="317" spans="9:9">
      <c r="I317" s="30"/>
    </row>
    <row r="318" spans="9:9">
      <c r="I318" s="30"/>
    </row>
    <row r="319" spans="9:9">
      <c r="I319" s="30"/>
    </row>
    <row r="320" spans="9:9">
      <c r="I320" s="30"/>
    </row>
    <row r="321" spans="9:9">
      <c r="I321" s="30"/>
    </row>
    <row r="322" spans="9:9">
      <c r="I322" s="30"/>
    </row>
  </sheetData>
  <autoFilter ref="D1:L60" xr:uid="{00000000-0001-0000-0200-000000000000}"/>
  <phoneticPr fontId="27" type="noConversion"/>
  <conditionalFormatting sqref="G2:G37">
    <cfRule type="cellIs" dxfId="41" priority="7" stopIfTrue="1" operator="equal">
      <formula>"Ongoing"</formula>
    </cfRule>
    <cfRule type="cellIs" dxfId="40" priority="8" stopIfTrue="1" operator="equal">
      <formula>"Completed"</formula>
    </cfRule>
    <cfRule type="cellIs" dxfId="39" priority="9" stopIfTrue="1" operator="equal">
      <formula>"In Progress"</formula>
    </cfRule>
    <cfRule type="cellIs" dxfId="38" priority="10" stopIfTrue="1" operator="equal">
      <formula>"Delayed"</formula>
    </cfRule>
    <cfRule type="cellIs" dxfId="37" priority="11" stopIfTrue="1" operator="equal">
      <formula>"Planned"</formula>
    </cfRule>
    <cfRule type="cellIs" dxfId="36" priority="12" stopIfTrue="1" operator="equal">
      <formula>"Active"</formula>
    </cfRule>
  </conditionalFormatting>
  <conditionalFormatting sqref="G2:G63">
    <cfRule type="containsText" dxfId="35" priority="19" operator="containsText" text="Completed">
      <formula>NOT(ISERROR(SEARCH("Completed",G2)))</formula>
    </cfRule>
    <cfRule type="containsText" dxfId="34" priority="20" operator="containsText" text="Delayed">
      <formula>NOT(ISERROR(SEARCH("Delayed",G2)))</formula>
    </cfRule>
    <cfRule type="containsText" dxfId="33" priority="21" operator="containsText" text="In Progress">
      <formula>NOT(ISERROR(SEARCH("In Progress",G2)))</formula>
    </cfRule>
  </conditionalFormatting>
  <conditionalFormatting sqref="G38:G40">
    <cfRule type="cellIs" dxfId="32" priority="1" stopIfTrue="1" operator="equal">
      <formula>"Ongoing"</formula>
    </cfRule>
    <cfRule type="cellIs" dxfId="31" priority="2" stopIfTrue="1" operator="equal">
      <formula>"Completed"</formula>
    </cfRule>
    <cfRule type="cellIs" dxfId="30" priority="3" stopIfTrue="1" operator="equal">
      <formula>"In Progress"</formula>
    </cfRule>
    <cfRule type="cellIs" dxfId="29" priority="4" stopIfTrue="1" operator="equal">
      <formula>"Delayed"</formula>
    </cfRule>
    <cfRule type="cellIs" dxfId="28" priority="5" stopIfTrue="1" operator="equal">
      <formula>"Planned"</formula>
    </cfRule>
    <cfRule type="cellIs" dxfId="27" priority="6" stopIfTrue="1" operator="equal">
      <formula>"Active"</formula>
    </cfRule>
  </conditionalFormatting>
  <conditionalFormatting sqref="G1:H1 G323:K1048576 G41:H42 G43 J38:J63 G44:H322 J64:K322">
    <cfRule type="cellIs" dxfId="26" priority="13" stopIfTrue="1" operator="equal">
      <formula>"Ongoing"</formula>
    </cfRule>
    <cfRule type="cellIs" dxfId="25" priority="14" stopIfTrue="1" operator="equal">
      <formula>"Completed"</formula>
    </cfRule>
    <cfRule type="cellIs" dxfId="24" priority="15" stopIfTrue="1" operator="equal">
      <formula>"In Progress"</formula>
    </cfRule>
    <cfRule type="cellIs" dxfId="23" priority="16" stopIfTrue="1" operator="equal">
      <formula>"Delayed"</formula>
    </cfRule>
    <cfRule type="cellIs" dxfId="22" priority="17" stopIfTrue="1" operator="equal">
      <formula>"Planned"</formula>
    </cfRule>
    <cfRule type="cellIs" dxfId="21" priority="18" stopIfTrue="1" operator="equal">
      <formula>"Active"</formula>
    </cfRule>
  </conditionalFormatting>
  <dataValidations count="2">
    <dataValidation type="list" allowBlank="1" showInputMessage="1" showErrorMessage="1" sqref="G2:G63" xr:uid="{CAD33E65-AECC-4445-92A9-E73451E8B3AC}">
      <formula1>"Active,Planned,In Progress,Delayed,Completed,Ongoing"</formula1>
    </dataValidation>
    <dataValidation type="list" allowBlank="1" showInputMessage="1" showErrorMessage="1" sqref="E2:E63" xr:uid="{EA904762-E67D-4E40-A1C9-561C93D93FB1}">
      <formula1>"Action,Assumption"</formula1>
    </dataValidation>
  </dataValidations>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Reference!$I$2:$I$7</xm:f>
          </x14:formula1>
          <xm:sqref>K64:K1048576 I41:I1048576 G64:G1048576 J38:J1048576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3"/>
  <sheetViews>
    <sheetView zoomScale="80" zoomScaleNormal="80" workbookViewId="0">
      <pane ySplit="1" topLeftCell="A4" activePane="bottomLeft" state="frozen"/>
      <selection pane="bottomLeft" activeCell="B15" sqref="B15"/>
    </sheetView>
  </sheetViews>
  <sheetFormatPr defaultColWidth="9.109375" defaultRowHeight="14.4"/>
  <cols>
    <col min="1" max="1" width="3.88671875" style="55" bestFit="1" customWidth="1"/>
    <col min="2" max="3" width="44.44140625" style="32" customWidth="1"/>
    <col min="4" max="4" width="37.77734375" style="32" customWidth="1"/>
    <col min="5" max="5" width="19.44140625" style="60" customWidth="1"/>
    <col min="6" max="6" width="26.44140625" style="59" customWidth="1"/>
    <col min="7" max="7" width="14.88671875" style="32" customWidth="1"/>
    <col min="8" max="8" width="20.109375" style="32" customWidth="1"/>
    <col min="9" max="9" width="31.88671875" style="57" customWidth="1"/>
    <col min="10" max="10" width="31.88671875" style="58" customWidth="1"/>
    <col min="11" max="11" width="35.5546875" style="32" customWidth="1"/>
    <col min="12" max="13" width="17.77734375" style="8" customWidth="1"/>
    <col min="14" max="16384" width="9.109375" style="32"/>
  </cols>
  <sheetData>
    <row r="1" spans="1:13" ht="28.8">
      <c r="A1" s="85" t="s">
        <v>67</v>
      </c>
      <c r="B1" s="85" t="s">
        <v>100</v>
      </c>
      <c r="C1" s="85" t="s">
        <v>101</v>
      </c>
      <c r="D1" s="85" t="s">
        <v>102</v>
      </c>
      <c r="E1" s="86" t="s">
        <v>39</v>
      </c>
      <c r="F1" s="87" t="s">
        <v>103</v>
      </c>
      <c r="G1" s="85" t="s">
        <v>12</v>
      </c>
      <c r="H1" s="85" t="s">
        <v>40</v>
      </c>
      <c r="I1" s="88" t="s">
        <v>175</v>
      </c>
      <c r="J1" s="89" t="s">
        <v>104</v>
      </c>
      <c r="K1" s="85" t="s">
        <v>17</v>
      </c>
      <c r="L1" s="77" t="s">
        <v>389</v>
      </c>
      <c r="M1" s="77" t="s">
        <v>384</v>
      </c>
    </row>
    <row r="2" spans="1:13" ht="28.8">
      <c r="A2" s="43">
        <v>1</v>
      </c>
      <c r="B2" s="33" t="s">
        <v>200</v>
      </c>
      <c r="C2" s="33" t="s">
        <v>244</v>
      </c>
      <c r="D2" s="33" t="s">
        <v>207</v>
      </c>
      <c r="E2" s="44">
        <v>46028</v>
      </c>
      <c r="F2" s="45">
        <v>46044</v>
      </c>
      <c r="G2" s="46" t="s">
        <v>120</v>
      </c>
      <c r="H2" s="45">
        <v>46044</v>
      </c>
      <c r="I2" s="45">
        <v>46044</v>
      </c>
      <c r="J2" s="48" t="s">
        <v>246</v>
      </c>
      <c r="K2" s="33"/>
      <c r="L2" s="8" t="str">
        <f ca="1">IF(G2="Closed","Closed",IF(E2&lt;&gt;"",IF(E2&lt;TODAY(),"Overdue",E2-TODAY()),""))</f>
        <v>Closed</v>
      </c>
      <c r="M2" s="8" t="str">
        <f ca="1">IF(G2="Closed","✓",IF(G2="Delayed","⚠ DELAYED",IF(AND(E2&lt;&gt;"",E2&lt;TODAY()),"⛔ OVERDUE",IF(AND(E2&lt;&gt;"",E2-TODAY()&lt;=7),"⏰ Due Soon",""))))</f>
        <v>✓</v>
      </c>
    </row>
    <row r="3" spans="1:13" ht="28.8">
      <c r="A3" s="43">
        <v>2</v>
      </c>
      <c r="B3" s="33" t="s">
        <v>200</v>
      </c>
      <c r="C3" s="33" t="s">
        <v>332</v>
      </c>
      <c r="D3" s="33" t="s">
        <v>207</v>
      </c>
      <c r="E3" s="44">
        <v>46028</v>
      </c>
      <c r="F3" s="45">
        <v>46044</v>
      </c>
      <c r="G3" s="46" t="s">
        <v>120</v>
      </c>
      <c r="H3" s="45">
        <v>46044</v>
      </c>
      <c r="I3" s="45">
        <v>46044</v>
      </c>
      <c r="J3" s="48" t="s">
        <v>246</v>
      </c>
      <c r="K3" s="33"/>
      <c r="L3" s="8" t="str">
        <f ca="1">IF(G2="Closed","Closed",IF(E2&lt;&gt;"",IF(E2&lt;TODAY(),"Overdue",E2-TODAY()),""))</f>
        <v>Closed</v>
      </c>
      <c r="M3" s="8" t="str">
        <f ca="1">IF(G2="Closed","✓",IF(G2="Delayed","⚠ DELAYED",IF(AND(E2&lt;&gt;"",E2&lt;TODAY()),"⛔ OVERDUE",IF(AND(E2&lt;&gt;"",E2-TODAY()&lt;=7),"⏰ Due Soon",""))))</f>
        <v>✓</v>
      </c>
    </row>
    <row r="4" spans="1:13" ht="43.2">
      <c r="A4" s="43">
        <v>3</v>
      </c>
      <c r="B4" s="33" t="s">
        <v>201</v>
      </c>
      <c r="C4" s="33" t="s">
        <v>247</v>
      </c>
      <c r="D4" s="33" t="s">
        <v>254</v>
      </c>
      <c r="E4" s="44">
        <v>46028</v>
      </c>
      <c r="F4" s="44">
        <v>46057</v>
      </c>
      <c r="G4" s="46" t="s">
        <v>124</v>
      </c>
      <c r="H4" s="45" t="s">
        <v>340</v>
      </c>
      <c r="I4" s="45"/>
      <c r="J4" s="48"/>
      <c r="K4" s="33"/>
      <c r="L4" s="8" t="str">
        <f ca="1">IF(G2="Closed","Closed",IF(E2&lt;&gt;"",IF(E2&lt;TODAY(),"Overdue",E2-TODAY()),""))</f>
        <v>Closed</v>
      </c>
      <c r="M4" s="8" t="str">
        <f ca="1">IF(G2="Closed","✓",IF(G2="Delayed","⚠ DELAYED",IF(AND(E2&lt;&gt;"",E2&lt;TODAY()),"⛔ OVERDUE",IF(AND(E2&lt;&gt;"",E2-TODAY()&lt;=7),"⏰ Due Soon",""))))</f>
        <v>✓</v>
      </c>
    </row>
    <row r="5" spans="1:13" ht="28.8">
      <c r="A5" s="43">
        <v>4</v>
      </c>
      <c r="B5" s="33" t="s">
        <v>249</v>
      </c>
      <c r="C5" s="33" t="s">
        <v>253</v>
      </c>
      <c r="D5" s="33" t="s">
        <v>254</v>
      </c>
      <c r="E5" s="44">
        <v>46028</v>
      </c>
      <c r="F5" s="44">
        <v>46057</v>
      </c>
      <c r="G5" s="46" t="s">
        <v>120</v>
      </c>
      <c r="H5" s="45">
        <v>46064</v>
      </c>
      <c r="I5" s="45">
        <v>46068</v>
      </c>
      <c r="J5" s="48" t="s">
        <v>338</v>
      </c>
      <c r="K5" s="33"/>
      <c r="L5" s="8" t="str">
        <f ca="1">IF(G2="Closed","Closed",IF(E2&lt;&gt;"",IF(E2&lt;TODAY(),"Overdue",E2-TODAY()),""))</f>
        <v>Closed</v>
      </c>
      <c r="M5" s="8" t="str">
        <f ca="1">IF(G2="Closed","✓",IF(G2="Delayed","⚠ DELAYED",IF(AND(E2&lt;&gt;"",E2&lt;TODAY()),"⛔ OVERDUE",IF(AND(E2&lt;&gt;"",E2-TODAY()&lt;=7),"⏰ Due Soon",""))))</f>
        <v>✓</v>
      </c>
    </row>
    <row r="6" spans="1:13">
      <c r="A6" s="43">
        <v>5</v>
      </c>
      <c r="B6" s="33" t="s">
        <v>256</v>
      </c>
      <c r="C6" s="33" t="s">
        <v>249</v>
      </c>
      <c r="D6" s="33" t="s">
        <v>255</v>
      </c>
      <c r="E6" s="44">
        <v>46028</v>
      </c>
      <c r="F6" s="44">
        <v>46057</v>
      </c>
      <c r="G6" s="46" t="s">
        <v>120</v>
      </c>
      <c r="H6" s="44" t="s">
        <v>245</v>
      </c>
      <c r="I6" s="45">
        <v>46068</v>
      </c>
      <c r="J6" s="48" t="s">
        <v>341</v>
      </c>
      <c r="K6" s="33"/>
      <c r="L6" s="8" t="str">
        <f ca="1">IF(G2="Closed","Closed",IF(E2&lt;&gt;"",IF(E2&lt;TODAY(),"Overdue",E2-TODAY()),""))</f>
        <v>Closed</v>
      </c>
      <c r="M6" s="8" t="str">
        <f ca="1">IF(G2="Closed","✓",IF(G2="Delayed","⚠ DELAYED",IF(AND(E2&lt;&gt;"",E2&lt;TODAY()),"⛔ OVERDUE",IF(AND(E2&lt;&gt;"",E2-TODAY()&lt;=7),"⏰ Due Soon",""))))</f>
        <v>✓</v>
      </c>
    </row>
    <row r="7" spans="1:13">
      <c r="A7" s="43">
        <v>6</v>
      </c>
      <c r="B7" s="33" t="s">
        <v>258</v>
      </c>
      <c r="C7" s="49" t="s">
        <v>250</v>
      </c>
      <c r="D7" s="33" t="s">
        <v>207</v>
      </c>
      <c r="E7" s="44">
        <v>46036</v>
      </c>
      <c r="F7" s="50" t="s">
        <v>245</v>
      </c>
      <c r="G7" s="46" t="s">
        <v>120</v>
      </c>
      <c r="H7" s="47" t="s">
        <v>245</v>
      </c>
      <c r="I7" s="45">
        <v>46077</v>
      </c>
      <c r="J7" s="48" t="s">
        <v>341</v>
      </c>
      <c r="K7" s="33"/>
      <c r="L7" s="8" t="str">
        <f ca="1">IF(G2="Closed","Closed",IF(E2&lt;&gt;"",IF(E2&lt;TODAY(),"Overdue",E2-TODAY()),""))</f>
        <v>Closed</v>
      </c>
      <c r="M7" s="8" t="str">
        <f ca="1">IF(G2="Closed","✓",IF(G2="Delayed","⚠ DELAYED",IF(AND(E2&lt;&gt;"",E2&lt;TODAY()),"⛔ OVERDUE",IF(AND(E2&lt;&gt;"",E2-TODAY()&lt;=7),"⏰ Due Soon",""))))</f>
        <v>✓</v>
      </c>
    </row>
    <row r="8" spans="1:13" ht="28.8">
      <c r="A8" s="43">
        <v>7</v>
      </c>
      <c r="B8" s="33" t="s">
        <v>286</v>
      </c>
      <c r="C8" s="49" t="s">
        <v>257</v>
      </c>
      <c r="D8" s="33" t="s">
        <v>237</v>
      </c>
      <c r="E8" s="44">
        <v>46037</v>
      </c>
      <c r="F8" s="47" t="s">
        <v>245</v>
      </c>
      <c r="G8" s="46" t="s">
        <v>120</v>
      </c>
      <c r="H8" s="47" t="s">
        <v>245</v>
      </c>
      <c r="I8" s="45">
        <v>46068</v>
      </c>
      <c r="J8" s="48" t="s">
        <v>342</v>
      </c>
      <c r="K8" s="33"/>
      <c r="L8" s="8" t="str">
        <f ca="1">IF(G2="Closed","Closed",IF(E2&lt;&gt;"",IF(E2&lt;TODAY(),"Overdue",E2-TODAY()),""))</f>
        <v>Closed</v>
      </c>
      <c r="M8" s="8" t="str">
        <f ca="1">IF(G2="Closed","✓",IF(G2="Delayed","⚠ DELAYED",IF(AND(E2&lt;&gt;"",E2&lt;TODAY()),"⛔ OVERDUE",IF(AND(E2&lt;&gt;"",E2-TODAY()&lt;=7),"⏰ Due Soon",""))))</f>
        <v>✓</v>
      </c>
    </row>
    <row r="9" spans="1:13" ht="28.8">
      <c r="A9" s="43">
        <v>8</v>
      </c>
      <c r="B9" s="33" t="s">
        <v>251</v>
      </c>
      <c r="C9" s="33" t="s">
        <v>252</v>
      </c>
      <c r="D9" s="33" t="s">
        <v>254</v>
      </c>
      <c r="E9" s="44">
        <v>46037</v>
      </c>
      <c r="F9" s="44">
        <v>46080</v>
      </c>
      <c r="G9" s="46" t="s">
        <v>120</v>
      </c>
      <c r="H9" s="47" t="s">
        <v>245</v>
      </c>
      <c r="I9" s="44">
        <v>46078</v>
      </c>
      <c r="J9" s="48"/>
      <c r="K9" s="33"/>
      <c r="L9" s="8" t="str">
        <f ca="1">IF(G2="Closed","Closed",IF(E2&lt;&gt;"",IF(E2&lt;TODAY(),"Overdue",E2-TODAY()),""))</f>
        <v>Closed</v>
      </c>
      <c r="M9" s="8" t="str">
        <f ca="1">IF(G2="Closed","✓",IF(G2="Delayed","⚠ DELAYED",IF(AND(E2&lt;&gt;"",E2&lt;TODAY()),"⛔ OVERDUE",IF(AND(E2&lt;&gt;"",E2-TODAY()&lt;=7),"⏰ Due Soon",""))))</f>
        <v>✓</v>
      </c>
    </row>
    <row r="10" spans="1:13" ht="28.8">
      <c r="A10" s="43">
        <v>9</v>
      </c>
      <c r="B10" s="33" t="s">
        <v>259</v>
      </c>
      <c r="C10" s="33" t="s">
        <v>251</v>
      </c>
      <c r="D10" s="33" t="s">
        <v>255</v>
      </c>
      <c r="E10" s="44">
        <v>46041</v>
      </c>
      <c r="F10" s="47"/>
      <c r="G10" s="46" t="s">
        <v>120</v>
      </c>
      <c r="H10" s="47"/>
      <c r="I10" s="44">
        <v>46106</v>
      </c>
      <c r="J10" s="48"/>
      <c r="K10" s="33"/>
      <c r="L10" s="8" t="str">
        <f ca="1">IF(G2="Closed","Closed",IF(E2&lt;&gt;"",IF(E2&lt;TODAY(),"Overdue",E2-TODAY()),""))</f>
        <v>Closed</v>
      </c>
      <c r="M10" s="8" t="str">
        <f ca="1">IF(G2="Closed","✓",IF(G2="Delayed","⚠ DELAYED",IF(AND(E2&lt;&gt;"",E2&lt;TODAY()),"⛔ OVERDUE",IF(AND(E2&lt;&gt;"",E2-TODAY()&lt;=7),"⏰ Due Soon",""))))</f>
        <v>✓</v>
      </c>
    </row>
    <row r="11" spans="1:13">
      <c r="A11" s="43">
        <v>10</v>
      </c>
      <c r="B11" s="33" t="s">
        <v>260</v>
      </c>
      <c r="C11" s="49" t="s">
        <v>333</v>
      </c>
      <c r="D11" s="33" t="s">
        <v>207</v>
      </c>
      <c r="E11" s="44">
        <v>46078</v>
      </c>
      <c r="F11" s="47"/>
      <c r="G11" s="46" t="s">
        <v>120</v>
      </c>
      <c r="H11" s="47"/>
      <c r="I11" s="44">
        <v>46078</v>
      </c>
      <c r="J11" s="48"/>
      <c r="K11" s="33"/>
      <c r="L11" s="8" t="str">
        <f ca="1">IF(G2="Closed","Closed",IF(E2&lt;&gt;"",IF(E2&lt;TODAY(),"Overdue",E2-TODAY()),""))</f>
        <v>Closed</v>
      </c>
      <c r="M11" s="8" t="str">
        <f ca="1">IF(G2="Closed","✓",IF(G2="Delayed","⚠ DELAYED",IF(AND(E2&lt;&gt;"",E2&lt;TODAY()),"⛔ OVERDUE",IF(AND(E2&lt;&gt;"",E2-TODAY()&lt;=7),"⏰ Due Soon",""))))</f>
        <v>✓</v>
      </c>
    </row>
    <row r="12" spans="1:13" ht="28.8">
      <c r="A12" s="43">
        <v>11</v>
      </c>
      <c r="B12" s="33" t="s">
        <v>287</v>
      </c>
      <c r="C12" s="31" t="s">
        <v>261</v>
      </c>
      <c r="D12" s="33" t="s">
        <v>237</v>
      </c>
      <c r="E12" s="44">
        <v>46092</v>
      </c>
      <c r="F12" s="47"/>
      <c r="G12" s="46" t="s">
        <v>120</v>
      </c>
      <c r="H12" s="52"/>
      <c r="I12" s="52">
        <v>46112</v>
      </c>
      <c r="J12" s="51"/>
      <c r="K12" s="33"/>
      <c r="L12" s="8" t="str">
        <f ca="1">IF(G2="Closed","Closed",IF(E2&lt;&gt;"",IF(E2&lt;TODAY(),"Overdue",E2-TODAY()),""))</f>
        <v>Closed</v>
      </c>
      <c r="M12" s="8" t="str">
        <f ca="1">IF(G2="Closed","✓",IF(G2="Delayed","⚠ DELAYED",IF(AND(E2&lt;&gt;"",E2&lt;TODAY()),"⛔ OVERDUE",IF(AND(E2&lt;&gt;"",E2-TODAY()&lt;=7),"⏰ Due Soon",""))))</f>
        <v>✓</v>
      </c>
    </row>
    <row r="13" spans="1:13" ht="28.8">
      <c r="A13" s="43">
        <v>12</v>
      </c>
      <c r="B13" s="33" t="s">
        <v>288</v>
      </c>
      <c r="C13" s="31" t="s">
        <v>262</v>
      </c>
      <c r="D13" s="33" t="s">
        <v>207</v>
      </c>
      <c r="E13" s="44">
        <v>46042</v>
      </c>
      <c r="F13" s="45">
        <v>46079</v>
      </c>
      <c r="G13" s="46" t="s">
        <v>120</v>
      </c>
      <c r="H13" s="46" t="s">
        <v>245</v>
      </c>
      <c r="I13" s="45">
        <v>46082</v>
      </c>
      <c r="J13" s="51"/>
      <c r="K13" s="33"/>
      <c r="L13" s="8" t="str">
        <f ca="1">IF(G2="Closed","Closed",IF(E2&lt;&gt;"",IF(E2&lt;TODAY(),"Overdue",E2-TODAY()),""))</f>
        <v>Closed</v>
      </c>
      <c r="M13" s="8" t="str">
        <f ca="1">IF(G2="Closed","✓",IF(G2="Delayed","⚠ DELAYED",IF(AND(E2&lt;&gt;"",E2&lt;TODAY()),"⛔ OVERDUE",IF(AND(E2&lt;&gt;"",E2-TODAY()&lt;=7),"⏰ Due Soon",""))))</f>
        <v>✓</v>
      </c>
    </row>
    <row r="14" spans="1:13" ht="28.8">
      <c r="A14" s="43">
        <v>13</v>
      </c>
      <c r="B14" s="33" t="s">
        <v>299</v>
      </c>
      <c r="C14" s="33" t="s">
        <v>294</v>
      </c>
      <c r="D14" s="33" t="s">
        <v>207</v>
      </c>
      <c r="E14" s="44">
        <v>46091</v>
      </c>
      <c r="F14" s="45">
        <v>46079</v>
      </c>
      <c r="G14" s="46" t="s">
        <v>124</v>
      </c>
      <c r="H14" s="46" t="s">
        <v>245</v>
      </c>
      <c r="I14" s="45"/>
      <c r="J14" s="51"/>
      <c r="K14" s="33"/>
      <c r="L14" s="8" t="str">
        <f ca="1">IF(G2="Closed","Closed",IF(E2&lt;&gt;"",IF(E2&lt;TODAY(),"Overdue",E2-TODAY()),""))</f>
        <v>Closed</v>
      </c>
      <c r="M14" s="8" t="str">
        <f ca="1">IF(G2="Closed","✓",IF(G2="Delayed","⚠ DELAYED",IF(AND(E2&lt;&gt;"",E2&lt;TODAY()),"⛔ OVERDUE",IF(AND(E2&lt;&gt;"",E2-TODAY()&lt;=7),"⏰ Due Soon",""))))</f>
        <v>✓</v>
      </c>
    </row>
    <row r="15" spans="1:13">
      <c r="A15" s="43">
        <v>14</v>
      </c>
      <c r="B15" s="33" t="s">
        <v>354</v>
      </c>
      <c r="C15" s="33" t="s">
        <v>295</v>
      </c>
      <c r="D15" s="39" t="s">
        <v>211</v>
      </c>
      <c r="E15" s="44">
        <v>46078</v>
      </c>
      <c r="F15" s="50">
        <v>46096</v>
      </c>
      <c r="G15" s="46" t="s">
        <v>120</v>
      </c>
      <c r="H15" s="46"/>
      <c r="I15" s="50">
        <v>46094</v>
      </c>
      <c r="J15" s="51"/>
      <c r="K15" s="46"/>
      <c r="L15" s="8" t="str">
        <f ca="1">IF(G2="Closed","Closed",IF(E2&lt;&gt;"",IF(E2&lt;TODAY(),"Overdue",E2-TODAY()),""))</f>
        <v>Closed</v>
      </c>
      <c r="M15" s="8" t="str">
        <f ca="1">IF(G2="Closed","✓",IF(G2="Delayed","⚠ DELAYED",IF(AND(E2&lt;&gt;"",E2&lt;TODAY()),"⛔ OVERDUE",IF(AND(E2&lt;&gt;"",E2-TODAY()&lt;=7),"⏰ Due Soon",""))))</f>
        <v>✓</v>
      </c>
    </row>
    <row r="16" spans="1:13" ht="28.8">
      <c r="A16" s="43">
        <v>15</v>
      </c>
      <c r="B16" s="33" t="s">
        <v>289</v>
      </c>
      <c r="C16" s="33" t="s">
        <v>300</v>
      </c>
      <c r="D16" s="39" t="s">
        <v>211</v>
      </c>
      <c r="E16" s="44">
        <v>46321</v>
      </c>
      <c r="F16" s="39"/>
      <c r="G16" s="46"/>
      <c r="H16" s="46"/>
      <c r="I16" s="52"/>
      <c r="J16" s="51"/>
      <c r="K16" s="33"/>
      <c r="L16" s="8" t="str">
        <f ca="1">IF(G2="Closed","Closed",IF(E2&lt;&gt;"",IF(E2&lt;TODAY(),"Overdue",E2-TODAY()),""))</f>
        <v>Closed</v>
      </c>
      <c r="M16" s="8" t="str">
        <f ca="1">IF(G2="Closed","✓",IF(G2="Delayed","⚠ DELAYED",IF(AND(E2&lt;&gt;"",E2&lt;TODAY()),"⛔ OVERDUE",IF(AND(E2&lt;&gt;"",E2-TODAY()&lt;=7),"⏰ Due Soon",""))))</f>
        <v>✓</v>
      </c>
    </row>
    <row r="17" spans="1:13" s="40" customFormat="1" ht="28.8">
      <c r="A17" s="43">
        <v>16</v>
      </c>
      <c r="B17" s="33" t="s">
        <v>290</v>
      </c>
      <c r="C17" s="33" t="s">
        <v>289</v>
      </c>
      <c r="D17" s="39" t="s">
        <v>211</v>
      </c>
      <c r="E17" s="44">
        <v>46363</v>
      </c>
      <c r="F17" s="39"/>
      <c r="G17" s="46"/>
      <c r="H17" s="39"/>
      <c r="I17" s="50"/>
      <c r="J17" s="53"/>
      <c r="K17" s="39"/>
      <c r="L17" s="78" t="str">
        <f ca="1">IF(G2="Closed","Closed",IF(E2&lt;&gt;"",IF(E2&lt;TODAY(),"Overdue",E2-TODAY()),""))</f>
        <v>Closed</v>
      </c>
      <c r="M17" s="78" t="str">
        <f ca="1">IF(G2="Closed","✓",IF(G2="Delayed","⚠ DELAYED",IF(AND(E2&lt;&gt;"",E2&lt;TODAY()),"⛔ OVERDUE",IF(AND(E2&lt;&gt;"",E2-TODAY()&lt;=7),"⏰ Due Soon",""))))</f>
        <v>✓</v>
      </c>
    </row>
    <row r="18" spans="1:13" ht="28.8">
      <c r="A18" s="43">
        <v>17</v>
      </c>
      <c r="B18" s="33" t="s">
        <v>291</v>
      </c>
      <c r="C18" s="33" t="s">
        <v>296</v>
      </c>
      <c r="D18" s="39" t="s">
        <v>211</v>
      </c>
      <c r="E18" s="44">
        <v>46383</v>
      </c>
      <c r="F18" s="39"/>
      <c r="G18" s="46"/>
      <c r="H18" s="46"/>
      <c r="I18" s="52"/>
      <c r="J18" s="51"/>
      <c r="K18" s="46"/>
      <c r="L18" s="8" t="str">
        <f ca="1">IF(G2="Closed","Closed",IF(E2&lt;&gt;"",IF(E2&lt;TODAY(),"Overdue",E2-TODAY()),""))</f>
        <v>Closed</v>
      </c>
      <c r="M18" s="8" t="str">
        <f ca="1">IF(G2="Closed","✓",IF(G2="Delayed","⚠ DELAYED",IF(AND(E2&lt;&gt;"",E2&lt;TODAY()),"⛔ OVERDUE",IF(AND(E2&lt;&gt;"",E2-TODAY()&lt;=7),"⏰ Due Soon",""))))</f>
        <v>✓</v>
      </c>
    </row>
    <row r="19" spans="1:13" ht="28.8">
      <c r="A19" s="43">
        <v>18</v>
      </c>
      <c r="B19" s="33" t="s">
        <v>292</v>
      </c>
      <c r="C19" s="33" t="s">
        <v>296</v>
      </c>
      <c r="D19" s="39" t="s">
        <v>211</v>
      </c>
      <c r="E19" s="44">
        <v>46383</v>
      </c>
      <c r="F19" s="39"/>
      <c r="G19" s="46"/>
      <c r="H19" s="46"/>
      <c r="I19" s="52"/>
      <c r="J19" s="51"/>
      <c r="K19" s="46"/>
      <c r="L19" s="8" t="str">
        <f ca="1">IF(G2="Closed","Closed",IF(E2&lt;&gt;"",IF(E2&lt;TODAY(),"Overdue",E2-TODAY()),""))</f>
        <v>Closed</v>
      </c>
      <c r="M19" s="8" t="str">
        <f ca="1">IF(G2="Closed","✓",IF(G2="Delayed","⚠ DELAYED",IF(AND(E2&lt;&gt;"",E2&lt;TODAY()),"⛔ OVERDUE",IF(AND(E2&lt;&gt;"",E2-TODAY()&lt;=7),"⏰ Due Soon",""))))</f>
        <v>✓</v>
      </c>
    </row>
    <row r="20" spans="1:13">
      <c r="A20" s="43">
        <v>19</v>
      </c>
      <c r="B20" s="33" t="s">
        <v>293</v>
      </c>
      <c r="C20" s="39" t="s">
        <v>245</v>
      </c>
      <c r="D20" s="33" t="s">
        <v>207</v>
      </c>
      <c r="E20" s="44">
        <v>46387</v>
      </c>
      <c r="F20" s="39"/>
      <c r="G20" s="46"/>
      <c r="H20" s="46"/>
      <c r="I20" s="52"/>
      <c r="J20" s="51"/>
      <c r="K20" s="46"/>
      <c r="L20" s="8" t="str">
        <f ca="1">IF(G2="Closed","Closed",IF(E2&lt;&gt;"",IF(E2&lt;TODAY(),"Overdue",E2-TODAY()),""))</f>
        <v>Closed</v>
      </c>
      <c r="M20" s="8" t="str">
        <f ca="1">IF(G2="Closed","✓",IF(G2="Delayed","⚠ DELAYED",IF(AND(E2&lt;&gt;"",E2&lt;TODAY()),"⛔ OVERDUE",IF(AND(E2&lt;&gt;"",E2-TODAY()&lt;=7),"⏰ Due Soon",""))))</f>
        <v>✓</v>
      </c>
    </row>
    <row r="21" spans="1:13">
      <c r="A21" s="43">
        <v>20</v>
      </c>
      <c r="B21" s="33" t="s">
        <v>202</v>
      </c>
      <c r="C21" s="33" t="s">
        <v>297</v>
      </c>
      <c r="D21" s="39" t="s">
        <v>211</v>
      </c>
      <c r="E21" s="44">
        <v>46387</v>
      </c>
      <c r="F21" s="39"/>
      <c r="G21" s="46"/>
      <c r="H21" s="46"/>
      <c r="I21" s="52"/>
      <c r="J21" s="51"/>
      <c r="K21" s="46"/>
      <c r="L21" s="8" t="str">
        <f ca="1">IF(G2="Closed","Closed",IF(E2&lt;&gt;"",IF(E2&lt;TODAY(),"Overdue",E2-TODAY()),""))</f>
        <v>Closed</v>
      </c>
      <c r="M21" s="8" t="str">
        <f ca="1">IF(G2="Closed","✓",IF(G2="Delayed","⚠ DELAYED",IF(AND(E2&lt;&gt;"",E2&lt;TODAY()),"⛔ OVERDUE",IF(AND(E2&lt;&gt;"",E2-TODAY()&lt;=7),"⏰ Due Soon",""))))</f>
        <v>✓</v>
      </c>
    </row>
    <row r="22" spans="1:13">
      <c r="A22" s="43">
        <v>21</v>
      </c>
      <c r="B22" s="33" t="s">
        <v>203</v>
      </c>
      <c r="C22" s="31" t="s">
        <v>298</v>
      </c>
      <c r="D22" s="39" t="s">
        <v>211</v>
      </c>
      <c r="E22" s="44">
        <v>46387</v>
      </c>
      <c r="F22" s="39"/>
      <c r="G22" s="46"/>
      <c r="H22" s="46"/>
      <c r="I22" s="52"/>
      <c r="J22" s="51"/>
      <c r="K22" s="46"/>
      <c r="L22" s="8" t="str">
        <f ca="1">IF(G2="Closed","Closed",IF(E2&lt;&gt;"",IF(E2&lt;TODAY(),"Overdue",E2-TODAY()),""))</f>
        <v>Closed</v>
      </c>
      <c r="M22" s="8" t="str">
        <f ca="1">IF(G2="Closed","✓",IF(G2="Delayed","⚠ DELAYED",IF(AND(E2&lt;&gt;"",E2&lt;TODAY()),"⛔ OVERDUE",IF(AND(E2&lt;&gt;"",E2-TODAY()&lt;=7),"⏰ Due Soon",""))))</f>
        <v>✓</v>
      </c>
    </row>
    <row r="23" spans="1:13">
      <c r="A23" s="43">
        <v>22</v>
      </c>
      <c r="B23" s="33"/>
      <c r="C23" s="39"/>
      <c r="D23" s="39"/>
      <c r="E23" s="44"/>
      <c r="F23" s="39"/>
      <c r="G23" s="46"/>
      <c r="H23" s="46"/>
      <c r="I23" s="52"/>
      <c r="J23" s="51"/>
      <c r="K23" s="46"/>
      <c r="L23" s="8" t="str">
        <f ca="1">IF(G2="Closed","Closed",IF(E2&lt;&gt;"",IF(E2&lt;TODAY(),"Overdue",E2-TODAY()),""))</f>
        <v>Closed</v>
      </c>
      <c r="M23" s="8" t="str">
        <f ca="1">IF(G2="Closed","✓",IF(G2="Delayed","⚠ DELAYED",IF(AND(E2&lt;&gt;"",E2&lt;TODAY()),"⛔ OVERDUE",IF(AND(E2&lt;&gt;"",E2-TODAY()&lt;=7),"⏰ Due Soon",""))))</f>
        <v>✓</v>
      </c>
    </row>
    <row r="24" spans="1:13">
      <c r="A24" s="43">
        <v>23</v>
      </c>
      <c r="B24" s="33"/>
      <c r="C24" s="39"/>
      <c r="D24" s="39"/>
      <c r="E24" s="54"/>
      <c r="F24" s="39"/>
      <c r="G24" s="46"/>
      <c r="H24" s="46"/>
      <c r="I24" s="52"/>
      <c r="J24" s="51"/>
      <c r="K24" s="46"/>
      <c r="L24" s="8" t="str">
        <f ca="1">IF(G2="Closed","Closed",IF(E2&lt;&gt;"",IF(E2&lt;TODAY(),"Overdue",E2-TODAY()),""))</f>
        <v>Closed</v>
      </c>
      <c r="M24" s="8" t="str">
        <f ca="1">IF(G2="Closed","✓",IF(G2="Delayed","⚠ DELAYED",IF(AND(E2&lt;&gt;"",E2&lt;TODAY()),"⛔ OVERDUE",IF(AND(E2&lt;&gt;"",E2-TODAY()&lt;=7),"⏰ Due Soon",""))))</f>
        <v>✓</v>
      </c>
    </row>
    <row r="25" spans="1:13">
      <c r="A25" s="43">
        <v>24</v>
      </c>
      <c r="B25" s="33"/>
      <c r="C25" s="39"/>
      <c r="D25" s="39"/>
      <c r="E25" s="54"/>
      <c r="F25" s="39"/>
      <c r="G25" s="46"/>
      <c r="H25" s="46"/>
      <c r="I25" s="52"/>
      <c r="J25" s="51"/>
      <c r="K25" s="46"/>
      <c r="L25" s="8" t="str">
        <f ca="1">IF(G2="Closed","Closed",IF(E2&lt;&gt;"",IF(E2&lt;TODAY(),"Overdue",E2-TODAY()),""))</f>
        <v>Closed</v>
      </c>
      <c r="M25" s="8" t="str">
        <f ca="1">IF(G2="Closed","✓",IF(G2="Delayed","⚠ DELAYED",IF(AND(E2&lt;&gt;"",E2&lt;TODAY()),"⛔ OVERDUE",IF(AND(E2&lt;&gt;"",E2-TODAY()&lt;=7),"⏰ Due Soon",""))))</f>
        <v>✓</v>
      </c>
    </row>
    <row r="26" spans="1:13">
      <c r="A26" s="43">
        <v>25</v>
      </c>
      <c r="B26" s="39"/>
      <c r="C26" s="39"/>
      <c r="D26" s="39"/>
      <c r="E26" s="54"/>
      <c r="F26" s="39"/>
      <c r="G26" s="46"/>
      <c r="H26" s="46"/>
      <c r="I26" s="52"/>
      <c r="J26" s="51"/>
      <c r="K26" s="46"/>
      <c r="L26" s="8" t="str">
        <f ca="1">IF(G2="Closed","Closed",IF(E2&lt;&gt;"",IF(E2&lt;TODAY(),"Overdue",E2-TODAY()),""))</f>
        <v>Closed</v>
      </c>
      <c r="M26" s="8" t="str">
        <f ca="1">IF(G2="Closed","✓",IF(G2="Delayed","⚠ DELAYED",IF(AND(E2&lt;&gt;"",E2&lt;TODAY()),"⛔ OVERDUE",IF(AND(E2&lt;&gt;"",E2-TODAY()&lt;=7),"⏰ Due Soon",""))))</f>
        <v>✓</v>
      </c>
    </row>
    <row r="27" spans="1:13">
      <c r="B27" s="41"/>
      <c r="C27" s="40"/>
      <c r="D27" s="40"/>
      <c r="E27" s="56"/>
      <c r="F27" s="40"/>
    </row>
    <row r="28" spans="1:13">
      <c r="B28" s="40"/>
      <c r="C28" s="40"/>
      <c r="D28" s="40"/>
      <c r="E28" s="56"/>
    </row>
    <row r="29" spans="1:13">
      <c r="B29" s="41"/>
      <c r="C29" s="40"/>
      <c r="D29" s="40"/>
      <c r="E29" s="56"/>
    </row>
    <row r="30" spans="1:13">
      <c r="B30" s="42"/>
      <c r="C30" s="40"/>
      <c r="D30" s="40"/>
      <c r="E30" s="56"/>
    </row>
    <row r="31" spans="1:13">
      <c r="B31" s="41"/>
      <c r="C31" s="40"/>
      <c r="D31" s="40"/>
      <c r="E31" s="56"/>
    </row>
    <row r="32" spans="1:13">
      <c r="B32" s="42"/>
      <c r="C32" s="40"/>
      <c r="D32" s="40"/>
      <c r="E32" s="56"/>
    </row>
    <row r="33" spans="2:5">
      <c r="B33" s="40"/>
      <c r="C33" s="40"/>
      <c r="D33" s="40"/>
    </row>
    <row r="34" spans="2:5">
      <c r="B34" s="42"/>
      <c r="C34" s="41"/>
      <c r="D34" s="42"/>
      <c r="E34" s="34"/>
    </row>
    <row r="35" spans="2:5">
      <c r="B35" s="42"/>
      <c r="C35" s="42"/>
      <c r="E35" s="34"/>
    </row>
    <row r="36" spans="2:5">
      <c r="B36" s="42"/>
      <c r="C36" s="42"/>
      <c r="E36" s="34"/>
    </row>
    <row r="37" spans="2:5">
      <c r="B37" s="42"/>
      <c r="C37" s="42"/>
      <c r="E37" s="34"/>
    </row>
    <row r="38" spans="2:5">
      <c r="B38" s="42"/>
      <c r="C38" s="42"/>
      <c r="E38" s="34"/>
    </row>
    <row r="39" spans="2:5">
      <c r="B39" s="42"/>
      <c r="C39" s="42"/>
      <c r="E39" s="34"/>
    </row>
    <row r="40" spans="2:5">
      <c r="B40" s="42"/>
      <c r="C40" s="42"/>
      <c r="E40" s="34"/>
    </row>
    <row r="41" spans="2:5">
      <c r="B41" s="42"/>
      <c r="C41" s="42"/>
    </row>
    <row r="42" spans="2:5">
      <c r="B42" s="42"/>
      <c r="C42" s="42"/>
      <c r="E42" s="34"/>
    </row>
    <row r="43" spans="2:5">
      <c r="B43" s="42"/>
      <c r="C43" s="42"/>
      <c r="E43" s="34"/>
    </row>
    <row r="44" spans="2:5">
      <c r="B44" s="42"/>
      <c r="C44" s="40"/>
      <c r="E44" s="34"/>
    </row>
    <row r="45" spans="2:5">
      <c r="B45" s="42"/>
      <c r="C45" s="42"/>
      <c r="E45" s="34"/>
    </row>
    <row r="46" spans="2:5">
      <c r="B46" s="42"/>
      <c r="C46" s="42"/>
      <c r="E46" s="34"/>
    </row>
    <row r="47" spans="2:5">
      <c r="B47" s="40"/>
      <c r="C47" s="40"/>
    </row>
    <row r="48" spans="2:5">
      <c r="B48" s="40"/>
      <c r="C48" s="40"/>
    </row>
    <row r="49" spans="2:3">
      <c r="B49" s="40"/>
      <c r="C49" s="40"/>
    </row>
    <row r="50" spans="2:3">
      <c r="B50" s="40"/>
      <c r="C50" s="40"/>
    </row>
    <row r="51" spans="2:3">
      <c r="B51" s="40"/>
      <c r="C51" s="40"/>
    </row>
    <row r="52" spans="2:3">
      <c r="B52" s="40"/>
      <c r="C52" s="40"/>
    </row>
    <row r="53" spans="2:3">
      <c r="B53" s="40"/>
      <c r="C53" s="40"/>
    </row>
    <row r="54" spans="2:3">
      <c r="B54" s="40"/>
      <c r="C54" s="40"/>
    </row>
    <row r="55" spans="2:3">
      <c r="B55" s="40"/>
      <c r="C55" s="40"/>
    </row>
    <row r="56" spans="2:3">
      <c r="B56" s="40"/>
      <c r="C56" s="40"/>
    </row>
    <row r="57" spans="2:3">
      <c r="B57" s="40"/>
      <c r="C57" s="40"/>
    </row>
    <row r="58" spans="2:3">
      <c r="B58" s="40"/>
      <c r="C58" s="40"/>
    </row>
    <row r="59" spans="2:3">
      <c r="B59" s="40"/>
      <c r="C59" s="40"/>
    </row>
    <row r="60" spans="2:3">
      <c r="B60" s="40"/>
      <c r="C60" s="40"/>
    </row>
    <row r="61" spans="2:3">
      <c r="B61" s="40"/>
      <c r="C61" s="40"/>
    </row>
    <row r="62" spans="2:3">
      <c r="B62" s="40"/>
      <c r="C62" s="40"/>
    </row>
    <row r="63" spans="2:3">
      <c r="B63" s="40"/>
      <c r="C63" s="40"/>
    </row>
    <row r="64" spans="2:3">
      <c r="B64" s="40"/>
      <c r="C64" s="40"/>
    </row>
    <row r="65" spans="2:3">
      <c r="B65" s="40"/>
      <c r="C65" s="40"/>
    </row>
    <row r="66" spans="2:3">
      <c r="B66" s="40"/>
      <c r="C66" s="40"/>
    </row>
    <row r="67" spans="2:3">
      <c r="B67" s="40"/>
      <c r="C67" s="40"/>
    </row>
    <row r="68" spans="2:3">
      <c r="B68" s="40"/>
      <c r="C68" s="40"/>
    </row>
    <row r="69" spans="2:3">
      <c r="B69" s="40"/>
      <c r="C69" s="40"/>
    </row>
    <row r="70" spans="2:3">
      <c r="B70" s="40"/>
      <c r="C70" s="40"/>
    </row>
    <row r="71" spans="2:3">
      <c r="B71" s="40"/>
      <c r="C71" s="40"/>
    </row>
    <row r="72" spans="2:3">
      <c r="B72" s="40"/>
      <c r="C72" s="40"/>
    </row>
    <row r="73" spans="2:3">
      <c r="B73" s="40"/>
      <c r="C73" s="40"/>
    </row>
    <row r="74" spans="2:3">
      <c r="B74" s="40"/>
      <c r="C74" s="40"/>
    </row>
    <row r="75" spans="2:3">
      <c r="B75" s="40"/>
      <c r="C75" s="40"/>
    </row>
    <row r="76" spans="2:3">
      <c r="B76" s="40"/>
      <c r="C76" s="40"/>
    </row>
    <row r="77" spans="2:3">
      <c r="B77" s="40"/>
      <c r="C77" s="40"/>
    </row>
    <row r="78" spans="2:3">
      <c r="B78" s="40"/>
      <c r="C78" s="40"/>
    </row>
    <row r="79" spans="2:3">
      <c r="B79" s="40"/>
      <c r="C79" s="40"/>
    </row>
    <row r="80" spans="2:3">
      <c r="B80" s="40"/>
      <c r="C80" s="40"/>
    </row>
    <row r="81" spans="2:3">
      <c r="B81" s="40"/>
      <c r="C81" s="40"/>
    </row>
    <row r="82" spans="2:3">
      <c r="B82" s="40"/>
      <c r="C82" s="40"/>
    </row>
    <row r="83" spans="2:3">
      <c r="B83" s="40"/>
      <c r="C83" s="40"/>
    </row>
    <row r="84" spans="2:3">
      <c r="B84" s="40"/>
      <c r="C84" s="40"/>
    </row>
    <row r="85" spans="2:3">
      <c r="B85" s="40"/>
      <c r="C85" s="40"/>
    </row>
    <row r="86" spans="2:3">
      <c r="B86" s="40"/>
      <c r="C86" s="40"/>
    </row>
    <row r="87" spans="2:3">
      <c r="B87" s="40"/>
      <c r="C87" s="40"/>
    </row>
    <row r="88" spans="2:3">
      <c r="B88" s="40"/>
      <c r="C88" s="40"/>
    </row>
    <row r="89" spans="2:3">
      <c r="B89" s="40"/>
      <c r="C89" s="40"/>
    </row>
    <row r="90" spans="2:3">
      <c r="B90" s="40"/>
      <c r="C90" s="40"/>
    </row>
    <row r="91" spans="2:3">
      <c r="B91" s="40"/>
      <c r="C91" s="40"/>
    </row>
    <row r="92" spans="2:3">
      <c r="B92" s="40"/>
      <c r="C92" s="40"/>
    </row>
    <row r="93" spans="2:3">
      <c r="B93" s="40"/>
      <c r="C93" s="40"/>
    </row>
  </sheetData>
  <autoFilter ref="B1:K3" xr:uid="{00000000-0009-0000-0000-000001000000}"/>
  <conditionalFormatting sqref="G1:G1048576">
    <cfRule type="cellIs" dxfId="20" priority="14" stopIfTrue="1" operator="equal">
      <formula>"Closed"</formula>
    </cfRule>
    <cfRule type="cellIs" dxfId="19" priority="15" stopIfTrue="1" operator="equal">
      <formula>"Delayed"</formula>
    </cfRule>
    <cfRule type="cellIs" dxfId="18" priority="16" stopIfTrue="1" operator="equal">
      <formula>"Planned"</formula>
    </cfRule>
    <cfRule type="cellIs" dxfId="17" priority="17" stopIfTrue="1" operator="equal">
      <formula>"Active"</formula>
    </cfRule>
  </conditionalFormatting>
  <conditionalFormatting sqref="G2:G26">
    <cfRule type="containsText" dxfId="16" priority="18" operator="containsText" text="Closed">
      <formula>NOT(ISERROR(SEARCH("Closed",G2)))</formula>
    </cfRule>
    <cfRule type="containsText" dxfId="15" priority="19" operator="containsText" text="Delayed">
      <formula>NOT(ISERROR(SEARCH("Delayed",G2)))</formula>
    </cfRule>
  </conditionalFormatting>
  <dataValidations count="1">
    <dataValidation type="list" allowBlank="1" showInputMessage="1" showErrorMessage="1" sqref="G2:G26" xr:uid="{A86EA992-961B-4E5E-9A33-697F28B6CB8B}">
      <formula1>"Active,Planned,Delayed,Closed"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Reference!$H$2:$H$5</xm:f>
          </x14:formula1>
          <xm:sqref>G27:G1048576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8"/>
  <sheetViews>
    <sheetView tabSelected="1" zoomScale="70" zoomScaleNormal="70" workbookViewId="0">
      <pane xSplit="2" ySplit="1" topLeftCell="C9" activePane="bottomRight" state="frozen"/>
      <selection pane="topRight" activeCell="C1" sqref="C1"/>
      <selection pane="bottomLeft" activeCell="A2" sqref="A2"/>
      <selection pane="bottomRight" activeCell="B12" sqref="B12"/>
    </sheetView>
  </sheetViews>
  <sheetFormatPr defaultColWidth="9.109375" defaultRowHeight="14.4"/>
  <cols>
    <col min="1" max="1" width="8.88671875" style="10" bestFit="1" customWidth="1"/>
    <col min="2" max="2" width="44.44140625" style="10" customWidth="1"/>
    <col min="3" max="3" width="17" style="10" bestFit="1" customWidth="1"/>
    <col min="4" max="4" width="15.88671875" style="10" bestFit="1" customWidth="1"/>
    <col min="5" max="5" width="35.5546875" style="10" customWidth="1"/>
    <col min="6" max="6" width="11.21875" style="10" bestFit="1" customWidth="1"/>
    <col min="7" max="7" width="12.109375" style="10" bestFit="1" customWidth="1"/>
    <col min="8" max="8" width="11.5546875" style="10" bestFit="1" customWidth="1"/>
    <col min="9" max="9" width="15.109375" style="10" customWidth="1"/>
    <col min="10" max="10" width="44.44140625" style="10" customWidth="1"/>
    <col min="11" max="11" width="28.33203125" style="10" customWidth="1"/>
    <col min="12" max="12" width="44.44140625" style="10" customWidth="1"/>
    <col min="13" max="13" width="21" style="10" bestFit="1" customWidth="1"/>
    <col min="14" max="14" width="28.88671875" style="10" bestFit="1" customWidth="1"/>
    <col min="15" max="15" width="20.109375" style="10" customWidth="1"/>
    <col min="16" max="18" width="14.21875" style="10" customWidth="1"/>
    <col min="19" max="16384" width="9.109375" style="10"/>
  </cols>
  <sheetData>
    <row r="1" spans="1:18" s="64" customFormat="1">
      <c r="A1" s="74" t="s">
        <v>7</v>
      </c>
      <c r="B1" s="74" t="s">
        <v>8</v>
      </c>
      <c r="C1" s="74" t="s">
        <v>154</v>
      </c>
      <c r="D1" s="74" t="s">
        <v>10</v>
      </c>
      <c r="E1" s="74" t="s">
        <v>11</v>
      </c>
      <c r="F1" s="74" t="s">
        <v>12</v>
      </c>
      <c r="G1" s="74" t="s">
        <v>13</v>
      </c>
      <c r="H1" s="74" t="s">
        <v>14</v>
      </c>
      <c r="I1" s="74" t="s">
        <v>15</v>
      </c>
      <c r="J1" s="74" t="s">
        <v>16</v>
      </c>
      <c r="K1" s="74" t="s">
        <v>171</v>
      </c>
      <c r="L1" s="74" t="s">
        <v>17</v>
      </c>
      <c r="M1" s="74" t="s">
        <v>18</v>
      </c>
      <c r="N1" s="74" t="s">
        <v>19</v>
      </c>
      <c r="O1" s="74" t="s">
        <v>172</v>
      </c>
      <c r="P1" s="74" t="s">
        <v>385</v>
      </c>
      <c r="Q1" s="74" t="s">
        <v>386</v>
      </c>
      <c r="R1" s="74" t="s">
        <v>387</v>
      </c>
    </row>
    <row r="2" spans="1:18" ht="28.8">
      <c r="A2" s="10" t="s">
        <v>20</v>
      </c>
      <c r="B2" s="7" t="s">
        <v>264</v>
      </c>
      <c r="C2" s="10" t="s">
        <v>207</v>
      </c>
      <c r="D2" s="18">
        <v>46028</v>
      </c>
      <c r="E2" s="10" t="s">
        <v>301</v>
      </c>
      <c r="F2" s="10" t="s">
        <v>117</v>
      </c>
      <c r="G2" s="10" t="s">
        <v>22</v>
      </c>
      <c r="H2" s="10" t="s">
        <v>24</v>
      </c>
      <c r="I2" s="10" t="s">
        <v>27</v>
      </c>
      <c r="J2" s="7" t="s">
        <v>302</v>
      </c>
      <c r="K2" s="6" t="s">
        <v>207</v>
      </c>
      <c r="L2" s="38" t="s">
        <v>303</v>
      </c>
      <c r="M2" s="18">
        <v>46027</v>
      </c>
      <c r="N2" s="18"/>
      <c r="O2" s="18">
        <v>46037</v>
      </c>
      <c r="P2" s="75" t="str" cm="1">
        <f t="array" ref="P2">IF(OR(B2="",F2="Inactive"),"",IF(AND(H2&lt;&gt;"",I2&lt;&gt;""),(_xlfn.SWITCH(H2,"Critical",4,"High",3,"Medium",2,"Low",1,0))*(_xlfn.SWITCH(I2,"High",3,"Highly Probable",3,"Medium",2,"Probable",2,"Low",1,"Less Likely",1,0)),""))</f>
        <v/>
      </c>
      <c r="Q2" s="10" t="str">
        <f>IF(P2="","",IF(P2&gt;=9,"CRITICAL",IF(P2&gt;=6,"HIGH",IF(P2&gt;=3,"MEDIUM","LOW"))))</f>
        <v/>
      </c>
      <c r="R2" s="75" t="str">
        <f ca="1">IF(AND(D2&lt;&gt;"",OR(F2="Active",F2="Escalated to Issue")),TODAY()-D2,"")</f>
        <v/>
      </c>
    </row>
    <row r="3" spans="1:18" ht="172.8">
      <c r="A3" s="10" t="s">
        <v>23</v>
      </c>
      <c r="B3" s="6" t="s">
        <v>317</v>
      </c>
      <c r="C3" s="10" t="s">
        <v>254</v>
      </c>
      <c r="D3" s="18">
        <v>46034</v>
      </c>
      <c r="E3" s="10" t="s">
        <v>316</v>
      </c>
      <c r="F3" s="10" t="s">
        <v>117</v>
      </c>
      <c r="G3" s="10" t="s">
        <v>24</v>
      </c>
      <c r="H3" s="10" t="s">
        <v>24</v>
      </c>
      <c r="I3" s="10" t="s">
        <v>24</v>
      </c>
      <c r="J3" s="62" t="s">
        <v>304</v>
      </c>
      <c r="K3" s="6" t="s">
        <v>207</v>
      </c>
      <c r="L3" s="38" t="s">
        <v>415</v>
      </c>
      <c r="M3" s="18">
        <v>46042</v>
      </c>
      <c r="N3" s="18"/>
      <c r="O3" s="18">
        <v>46083</v>
      </c>
      <c r="P3" s="75" t="str" cm="1">
        <f t="array" ref="P3">IF(OR(B2="",F2="Inactive"),"",IF(AND(H2&lt;&gt;"",I2&lt;&gt;""),(_xlfn.SWITCH(H2,"Critical",4,"High",3,"Medium",2,"Low",1,0))*(_xlfn.SWITCH(I2,"High",3,"Highly Probable",3,"Medium",2,"Probable",2,"Low",1,"Less Likely",1,0)),""))</f>
        <v/>
      </c>
      <c r="Q3" s="10" t="str">
        <f>IF(P2="","",IF(P2&gt;=9,"CRITICAL",IF(P2&gt;=6,"HIGH",IF(P2&gt;=3,"MEDIUM","LOW"))))</f>
        <v/>
      </c>
      <c r="R3" s="75" t="str">
        <f ca="1">IF(AND(D2&lt;&gt;"",OR(F2="Active",F2="Escalated to Issue")),TODAY()-D2,"")</f>
        <v/>
      </c>
    </row>
    <row r="4" spans="1:18">
      <c r="A4" s="10" t="s">
        <v>128</v>
      </c>
      <c r="B4" s="7" t="s">
        <v>235</v>
      </c>
      <c r="C4" s="10" t="s">
        <v>207</v>
      </c>
      <c r="D4" s="18">
        <v>46036</v>
      </c>
      <c r="E4" s="7" t="s">
        <v>306</v>
      </c>
      <c r="F4" s="10" t="s">
        <v>117</v>
      </c>
      <c r="G4" s="10" t="s">
        <v>22</v>
      </c>
      <c r="H4" s="10" t="s">
        <v>24</v>
      </c>
      <c r="I4" s="10" t="s">
        <v>27</v>
      </c>
      <c r="J4" s="63" t="s">
        <v>307</v>
      </c>
      <c r="K4" s="6" t="s">
        <v>207</v>
      </c>
      <c r="L4" s="6"/>
      <c r="M4" s="18">
        <v>46027</v>
      </c>
      <c r="N4" s="18"/>
      <c r="O4" s="18">
        <v>46037</v>
      </c>
      <c r="P4" s="75" t="str" cm="1">
        <f t="array" ref="P4">IF(OR(B2="",F2="Inactive"),"",IF(AND(H2&lt;&gt;"",I2&lt;&gt;""),(_xlfn.SWITCH(H2,"Critical",4,"High",3,"Medium",2,"Low",1,0))*(_xlfn.SWITCH(I2,"High",3,"Highly Probable",3,"Medium",2,"Probable",2,"Low",1,"Less Likely",1,0)),""))</f>
        <v/>
      </c>
      <c r="Q4" s="10" t="str">
        <f>IF(P2="","",IF(P2&gt;=9,"CRITICAL",IF(P2&gt;=6,"HIGH",IF(P2&gt;=3,"MEDIUM","LOW"))))</f>
        <v/>
      </c>
      <c r="R4" s="75" t="str">
        <f ca="1">IF(AND(D2&lt;&gt;"",OR(F2="Active",F2="Escalated to Issue")),TODAY()-D2,"")</f>
        <v/>
      </c>
    </row>
    <row r="5" spans="1:18" ht="158.4">
      <c r="A5" s="10" t="s">
        <v>25</v>
      </c>
      <c r="B5" s="7" t="s">
        <v>269</v>
      </c>
      <c r="C5" s="10" t="s">
        <v>273</v>
      </c>
      <c r="D5" s="18">
        <v>46042</v>
      </c>
      <c r="E5" s="7" t="s">
        <v>308</v>
      </c>
      <c r="F5" s="10" t="s">
        <v>117</v>
      </c>
      <c r="G5" s="10" t="s">
        <v>22</v>
      </c>
      <c r="H5" s="10" t="s">
        <v>22</v>
      </c>
      <c r="I5" s="10" t="s">
        <v>24</v>
      </c>
      <c r="J5" s="62" t="s">
        <v>268</v>
      </c>
      <c r="K5" s="10" t="s">
        <v>211</v>
      </c>
      <c r="L5" s="38" t="s">
        <v>355</v>
      </c>
      <c r="M5" s="18">
        <v>46037</v>
      </c>
      <c r="N5" s="18"/>
      <c r="O5" s="18">
        <v>46082</v>
      </c>
      <c r="P5" s="75" t="str" cm="1">
        <f t="array" ref="P5">IF(OR(B2="",F2="Inactive"),"",IF(AND(H2&lt;&gt;"",I2&lt;&gt;""),(_xlfn.SWITCH(H2,"Critical",4,"High",3,"Medium",2,"Low",1,0))*(_xlfn.SWITCH(I2,"High",3,"Highly Probable",3,"Medium",2,"Probable",2,"Low",1,"Less Likely",1,0)),""))</f>
        <v/>
      </c>
      <c r="Q5" s="10" t="str">
        <f>IF(P2="","",IF(P2&gt;=9,"CRITICAL",IF(P2&gt;=6,"HIGH",IF(P2&gt;=3,"MEDIUM","LOW"))))</f>
        <v/>
      </c>
      <c r="R5" s="75" t="str">
        <f ca="1">IF(AND(D2&lt;&gt;"",OR(F2="Active",F2="Escalated to Issue")),TODAY()-D2,"")</f>
        <v/>
      </c>
    </row>
    <row r="6" spans="1:18" ht="43.2">
      <c r="A6" s="10" t="s">
        <v>26</v>
      </c>
      <c r="B6" s="7" t="s">
        <v>265</v>
      </c>
      <c r="C6" s="10" t="s">
        <v>273</v>
      </c>
      <c r="D6" s="18">
        <v>46049</v>
      </c>
      <c r="E6" s="38" t="s">
        <v>309</v>
      </c>
      <c r="F6" s="10" t="s">
        <v>117</v>
      </c>
      <c r="G6" s="10" t="s">
        <v>22</v>
      </c>
      <c r="H6" s="10" t="s">
        <v>22</v>
      </c>
      <c r="I6" s="10" t="s">
        <v>24</v>
      </c>
      <c r="J6" s="6" t="s">
        <v>310</v>
      </c>
      <c r="K6" s="6" t="s">
        <v>207</v>
      </c>
      <c r="L6" s="38" t="s">
        <v>311</v>
      </c>
      <c r="M6" s="18">
        <v>46027</v>
      </c>
      <c r="N6" s="18"/>
      <c r="O6" s="18"/>
      <c r="P6" s="75" t="str" cm="1">
        <f t="array" ref="P6">IF(OR(B2="",F2="Inactive"),"",IF(AND(H2&lt;&gt;"",I2&lt;&gt;""),(_xlfn.SWITCH(H2,"Critical",4,"High",3,"Medium",2,"Low",1,0))*(_xlfn.SWITCH(I2,"High",3,"Highly Probable",3,"Medium",2,"Probable",2,"Low",1,"Less Likely",1,0)),""))</f>
        <v/>
      </c>
      <c r="Q6" s="10" t="str">
        <f>IF(P2="","",IF(P2&gt;=9,"CRITICAL",IF(P2&gt;=6,"HIGH",IF(P2&gt;=3,"MEDIUM","LOW"))))</f>
        <v/>
      </c>
      <c r="R6" s="75" t="str">
        <f ca="1">IF(AND(D2&lt;&gt;"",OR(F2="Active",F2="Escalated to Issue")),TODAY()-D2,"")</f>
        <v/>
      </c>
    </row>
    <row r="7" spans="1:18" ht="316.8">
      <c r="A7" s="10" t="s">
        <v>28</v>
      </c>
      <c r="B7" s="7" t="s">
        <v>334</v>
      </c>
      <c r="C7" s="10" t="s">
        <v>273</v>
      </c>
      <c r="D7" s="18">
        <v>46036</v>
      </c>
      <c r="E7" s="7" t="s">
        <v>312</v>
      </c>
      <c r="F7" s="10" t="s">
        <v>117</v>
      </c>
      <c r="G7" s="10" t="s">
        <v>22</v>
      </c>
      <c r="H7" s="10" t="s">
        <v>22</v>
      </c>
      <c r="I7" s="10" t="s">
        <v>24</v>
      </c>
      <c r="J7" s="62" t="s">
        <v>313</v>
      </c>
      <c r="K7" s="6" t="s">
        <v>207</v>
      </c>
      <c r="L7" s="38" t="s">
        <v>356</v>
      </c>
      <c r="M7" s="18">
        <v>46027</v>
      </c>
      <c r="N7" s="18"/>
      <c r="O7" s="18">
        <v>46068</v>
      </c>
      <c r="P7" s="75" t="str" cm="1">
        <f t="array" ref="P7">IF(OR(B2="",F2="Inactive"),"",IF(AND(H2&lt;&gt;"",I2&lt;&gt;""),(_xlfn.SWITCH(H2,"Critical",4,"High",3,"Medium",2,"Low",1,0))*(_xlfn.SWITCH(I2,"High",3,"Highly Probable",3,"Medium",2,"Probable",2,"Low",1,"Less Likely",1,0)),""))</f>
        <v/>
      </c>
      <c r="Q7" s="10" t="str">
        <f>IF(P2="","",IF(P2&gt;=9,"CRITICAL",IF(P2&gt;=6,"HIGH",IF(P2&gt;=3,"MEDIUM","LOW"))))</f>
        <v/>
      </c>
      <c r="R7" s="75" t="str">
        <f ca="1">IF(AND(D2&lt;&gt;"",OR(F2="Active",F2="Escalated to Issue")),TODAY()-D2,"")</f>
        <v/>
      </c>
    </row>
    <row r="8" spans="1:18" ht="43.2">
      <c r="A8" s="10" t="s">
        <v>29</v>
      </c>
      <c r="B8" s="7" t="s">
        <v>267</v>
      </c>
      <c r="C8" s="10" t="s">
        <v>254</v>
      </c>
      <c r="D8" s="18">
        <v>46056</v>
      </c>
      <c r="E8" s="10" t="s">
        <v>274</v>
      </c>
      <c r="F8" s="10" t="s">
        <v>122</v>
      </c>
      <c r="G8" s="10" t="s">
        <v>22</v>
      </c>
      <c r="H8" s="10" t="s">
        <v>24</v>
      </c>
      <c r="I8" s="10" t="s">
        <v>24</v>
      </c>
      <c r="J8" s="62" t="s">
        <v>314</v>
      </c>
      <c r="K8" s="6" t="s">
        <v>207</v>
      </c>
      <c r="L8" s="38" t="s">
        <v>315</v>
      </c>
      <c r="M8" s="18">
        <v>46023</v>
      </c>
      <c r="N8" s="18"/>
      <c r="O8" s="18"/>
      <c r="P8" s="75" t="str" cm="1">
        <f t="array" ref="P8">IF(OR(B2="",F2="Inactive"),"",IF(AND(H2&lt;&gt;"",I2&lt;&gt;""),(_xlfn.SWITCH(H2,"Critical",4,"High",3,"Medium",2,"Low",1,0))*(_xlfn.SWITCH(I2,"High",3,"Highly Probable",3,"Medium",2,"Probable",2,"Low",1,"Less Likely",1,0)),""))</f>
        <v/>
      </c>
      <c r="Q8" s="10" t="str">
        <f>IF(P2="","",IF(P2&gt;=9,"CRITICAL",IF(P2&gt;=6,"HIGH",IF(P2&gt;=3,"MEDIUM","LOW"))))</f>
        <v/>
      </c>
      <c r="R8" s="75" t="str">
        <f ca="1">IF(AND(D2&lt;&gt;"",OR(F2="Active",F2="Escalated to Issue")),TODAY()-D2,"")</f>
        <v/>
      </c>
    </row>
    <row r="9" spans="1:18" ht="216">
      <c r="A9" s="10" t="s">
        <v>30</v>
      </c>
      <c r="B9" s="61" t="s">
        <v>320</v>
      </c>
      <c r="C9" s="10" t="s">
        <v>254</v>
      </c>
      <c r="D9" s="18">
        <v>46042</v>
      </c>
      <c r="E9" s="10" t="s">
        <v>319</v>
      </c>
      <c r="F9" s="10" t="s">
        <v>21</v>
      </c>
      <c r="G9" s="10" t="s">
        <v>24</v>
      </c>
      <c r="H9" s="10" t="s">
        <v>24</v>
      </c>
      <c r="I9" s="10" t="s">
        <v>27</v>
      </c>
      <c r="J9" s="62" t="s">
        <v>330</v>
      </c>
      <c r="K9" s="6" t="s">
        <v>207</v>
      </c>
      <c r="L9" s="6" t="s">
        <v>357</v>
      </c>
      <c r="M9" s="18">
        <v>46063</v>
      </c>
      <c r="N9" s="18"/>
      <c r="P9" s="75" t="str" cm="1">
        <f t="array" ref="P9">IF(OR(B2="",F2="Inactive"),"",IF(AND(H2&lt;&gt;"",I2&lt;&gt;""),(_xlfn.SWITCH(H2,"Critical",4,"High",3,"Medium",2,"Low",1,0))*(_xlfn.SWITCH(I2,"High",3,"Highly Probable",3,"Medium",2,"Probable",2,"Low",1,"Less Likely",1,0)),""))</f>
        <v/>
      </c>
      <c r="Q9" s="10" t="str">
        <f>IF(P2="","",IF(P2&gt;=9,"CRITICAL",IF(P2&gt;=6,"HIGH",IF(P2&gt;=3,"MEDIUM","LOW"))))</f>
        <v/>
      </c>
      <c r="R9" s="75" t="str">
        <f ca="1">IF(AND(D2&lt;&gt;"",OR(F2="Active",F2="Escalated to Issue")),TODAY()-D2,"")</f>
        <v/>
      </c>
    </row>
    <row r="10" spans="1:18" ht="129.6">
      <c r="A10" s="10" t="s">
        <v>31</v>
      </c>
      <c r="B10" s="4" t="s">
        <v>323</v>
      </c>
      <c r="C10" s="10" t="s">
        <v>254</v>
      </c>
      <c r="D10" s="18">
        <v>46029</v>
      </c>
      <c r="E10" s="10" t="s">
        <v>329</v>
      </c>
      <c r="F10" s="10" t="s">
        <v>21</v>
      </c>
      <c r="G10" s="10" t="s">
        <v>24</v>
      </c>
      <c r="H10" s="10" t="s">
        <v>24</v>
      </c>
      <c r="I10" s="10" t="s">
        <v>27</v>
      </c>
      <c r="J10" s="62" t="s">
        <v>324</v>
      </c>
      <c r="K10" s="6" t="s">
        <v>207</v>
      </c>
      <c r="L10" s="38" t="s">
        <v>358</v>
      </c>
      <c r="M10" s="18">
        <v>46063</v>
      </c>
      <c r="P10" s="75" t="str" cm="1">
        <f t="array" ref="P10">IF(OR(B2="",F2="Inactive"),"",IF(AND(H2&lt;&gt;"",I2&lt;&gt;""),(_xlfn.SWITCH(H2,"Critical",4,"High",3,"Medium",2,"Low",1,0))*(_xlfn.SWITCH(I2,"High",3,"Highly Probable",3,"Medium",2,"Probable",2,"Low",1,"Less Likely",1,0)),""))</f>
        <v/>
      </c>
      <c r="Q10" s="10" t="str">
        <f>IF(P2="","",IF(P2&gt;=9,"CRITICAL",IF(P2&gt;=6,"HIGH",IF(P2&gt;=3,"MEDIUM","LOW"))))</f>
        <v/>
      </c>
      <c r="R10" s="75" t="str">
        <f ca="1">IF(AND(D2&lt;&gt;"",OR(F2="Active",F2="Escalated to Issue")),TODAY()-D2,"")</f>
        <v/>
      </c>
    </row>
    <row r="11" spans="1:18" ht="115.2">
      <c r="A11" s="10" t="s">
        <v>32</v>
      </c>
      <c r="B11" s="61" t="s">
        <v>325</v>
      </c>
      <c r="C11" s="10" t="s">
        <v>326</v>
      </c>
      <c r="D11" s="18">
        <v>46062</v>
      </c>
      <c r="E11" s="10" t="s">
        <v>327</v>
      </c>
      <c r="F11" s="10" t="s">
        <v>117</v>
      </c>
      <c r="G11" s="10" t="s">
        <v>22</v>
      </c>
      <c r="H11" s="10" t="s">
        <v>24</v>
      </c>
      <c r="I11" s="10" t="s">
        <v>24</v>
      </c>
      <c r="J11" s="6" t="s">
        <v>328</v>
      </c>
      <c r="K11" s="6" t="s">
        <v>207</v>
      </c>
      <c r="L11" s="65" t="s">
        <v>343</v>
      </c>
      <c r="M11" s="18">
        <v>46064</v>
      </c>
      <c r="N11" s="18"/>
      <c r="O11" s="18">
        <v>46068</v>
      </c>
      <c r="P11" s="75" t="str" cm="1">
        <f t="array" ref="P11">IF(OR(B2="",F2="Inactive"),"",IF(AND(H2&lt;&gt;"",I2&lt;&gt;""),(_xlfn.SWITCH(H2,"Critical",4,"High",3,"Medium",2,"Low",1,0))*(_xlfn.SWITCH(I2,"High",3,"Highly Probable",3,"Medium",2,"Probable",2,"Low",1,"Less Likely",1,0)),""))</f>
        <v/>
      </c>
      <c r="Q11" s="10" t="str">
        <f>IF(P2="","",IF(P2&gt;=9,"CRITICAL",IF(P2&gt;=6,"HIGH",IF(P2&gt;=3,"MEDIUM","LOW"))))</f>
        <v/>
      </c>
      <c r="R11" s="75" t="str">
        <f ca="1">IF(AND(D2&lt;&gt;"",OR(F2="Active",F2="Escalated to Issue")),TODAY()-D2,"")</f>
        <v/>
      </c>
    </row>
    <row r="12" spans="1:18">
      <c r="A12" s="10" t="s">
        <v>129</v>
      </c>
      <c r="B12" s="61" t="s">
        <v>419</v>
      </c>
      <c r="C12" s="91" t="s">
        <v>254</v>
      </c>
      <c r="D12" s="18">
        <v>46133</v>
      </c>
      <c r="J12" s="6"/>
      <c r="K12" s="6"/>
      <c r="L12" s="6"/>
      <c r="M12" s="18"/>
      <c r="N12" s="18"/>
      <c r="P12" s="75" t="str" cm="1">
        <f t="array" ref="P12">IF(OR(B2="",F2="Inactive"),"",IF(AND(H2&lt;&gt;"",I2&lt;&gt;""),(_xlfn.SWITCH(H2,"Critical",4,"High",3,"Medium",2,"Low",1,0))*(_xlfn.SWITCH(I2,"High",3,"Highly Probable",3,"Medium",2,"Probable",2,"Low",1,"Less Likely",1,0)),""))</f>
        <v/>
      </c>
      <c r="Q12" s="10" t="str">
        <f>IF(P2="","",IF(P2&gt;=9,"CRITICAL",IF(P2&gt;=6,"HIGH",IF(P2&gt;=3,"MEDIUM","LOW"))))</f>
        <v/>
      </c>
      <c r="R12" s="75" t="str">
        <f ca="1">IF(AND(D2&lt;&gt;"",OR(F2="Active",F2="Escalated to Issue")),TODAY()-D2,"")</f>
        <v/>
      </c>
    </row>
    <row r="13" spans="1:18">
      <c r="A13" s="10" t="s">
        <v>130</v>
      </c>
      <c r="B13" s="61"/>
      <c r="D13" s="18"/>
      <c r="J13" s="6"/>
      <c r="K13" s="6"/>
      <c r="L13" s="6"/>
      <c r="M13" s="18"/>
      <c r="N13" s="18"/>
      <c r="O13" s="18"/>
      <c r="P13" s="75" t="str" cm="1">
        <f t="array" ref="P13">IF(OR(B2="",F2="Inactive"),"",IF(AND(H2&lt;&gt;"",I2&lt;&gt;""),(_xlfn.SWITCH(H2,"Critical",4,"High",3,"Medium",2,"Low",1,0))*(_xlfn.SWITCH(I2,"High",3,"Highly Probable",3,"Medium",2,"Probable",2,"Low",1,"Less Likely",1,0)),""))</f>
        <v/>
      </c>
      <c r="Q13" s="10" t="str">
        <f>IF(P2="","",IF(P2&gt;=9,"CRITICAL",IF(P2&gt;=6,"HIGH",IF(P2&gt;=3,"MEDIUM","LOW"))))</f>
        <v/>
      </c>
      <c r="R13" s="75" t="str">
        <f ca="1">IF(AND(D2&lt;&gt;"",OR(F2="Active",F2="Escalated to Issue")),TODAY()-D2,"")</f>
        <v/>
      </c>
    </row>
    <row r="14" spans="1:18">
      <c r="A14" s="10" t="s">
        <v>130</v>
      </c>
      <c r="B14" s="61"/>
      <c r="D14" s="18"/>
      <c r="J14" s="6"/>
      <c r="K14" s="6"/>
      <c r="L14" s="6"/>
      <c r="M14" s="18"/>
      <c r="N14" s="18"/>
      <c r="O14" s="18"/>
      <c r="P14" s="75" t="str" cm="1">
        <f t="array" ref="P14">IF(OR(B2="",F2="Inactive"),"",IF(AND(H2&lt;&gt;"",I2&lt;&gt;""),(_xlfn.SWITCH(H2,"Critical",4,"High",3,"Medium",2,"Low",1,0))*(_xlfn.SWITCH(I2,"High",3,"Highly Probable",3,"Medium",2,"Probable",2,"Low",1,"Less Likely",1,0)),""))</f>
        <v/>
      </c>
      <c r="Q14" s="10" t="str">
        <f>IF(P2="","",IF(P2&gt;=9,"CRITICAL",IF(P2&gt;=6,"HIGH",IF(P2&gt;=3,"MEDIUM","LOW"))))</f>
        <v/>
      </c>
      <c r="R14" s="75" t="str">
        <f ca="1">IF(AND(D2&lt;&gt;"",OR(F2="Active",F2="Escalated to Issue")),TODAY()-D2,"")</f>
        <v/>
      </c>
    </row>
    <row r="15" spans="1:18">
      <c r="A15" s="10" t="s">
        <v>131</v>
      </c>
      <c r="B15" s="61"/>
      <c r="D15" s="18"/>
      <c r="J15" s="7"/>
      <c r="K15" s="7"/>
      <c r="L15" s="6"/>
      <c r="M15" s="18"/>
      <c r="N15" s="18"/>
      <c r="O15" s="18"/>
      <c r="P15" s="75" t="str" cm="1">
        <f t="array" ref="P15">IF(OR(B2="",F2="Inactive"),"",IF(AND(H2&lt;&gt;"",I2&lt;&gt;""),(_xlfn.SWITCH(H2,"Critical",4,"High",3,"Medium",2,"Low",1,0))*(_xlfn.SWITCH(I2,"High",3,"Highly Probable",3,"Medium",2,"Probable",2,"Low",1,"Less Likely",1,0)),""))</f>
        <v/>
      </c>
      <c r="Q15" s="10" t="str">
        <f>IF(P2="","",IF(P2&gt;=9,"CRITICAL",IF(P2&gt;=6,"HIGH",IF(P2&gt;=3,"MEDIUM","LOW"))))</f>
        <v/>
      </c>
      <c r="R15" s="75" t="str">
        <f ca="1">IF(AND(D2&lt;&gt;"",OR(F2="Active",F2="Escalated to Issue")),TODAY()-D2,"")</f>
        <v/>
      </c>
    </row>
    <row r="16" spans="1:18">
      <c r="A16" s="10" t="s">
        <v>132</v>
      </c>
      <c r="D16" s="18"/>
      <c r="M16" s="18"/>
      <c r="N16" s="18"/>
      <c r="O16" s="18"/>
      <c r="P16" s="75" t="str" cm="1">
        <f t="array" ref="P16">IF(OR(B2="",F2="Inactive"),"",IF(AND(H2&lt;&gt;"",I2&lt;&gt;""),(_xlfn.SWITCH(H2,"Critical",4,"High",3,"Medium",2,"Low",1,0))*(_xlfn.SWITCH(I2,"High",3,"Highly Probable",3,"Medium",2,"Probable",2,"Low",1,"Less Likely",1,0)),""))</f>
        <v/>
      </c>
      <c r="Q16" s="10" t="str">
        <f>IF(P2="","",IF(P2&gt;=9,"CRITICAL",IF(P2&gt;=6,"HIGH",IF(P2&gt;=3,"MEDIUM","LOW"))))</f>
        <v/>
      </c>
      <c r="R16" s="75" t="str">
        <f ca="1">IF(AND(D2&lt;&gt;"",OR(F2="Active",F2="Escalated to Issue")),TODAY()-D2,"")</f>
        <v/>
      </c>
    </row>
    <row r="17" spans="1:18">
      <c r="A17" s="10" t="s">
        <v>133</v>
      </c>
      <c r="D17" s="18"/>
      <c r="M17" s="18"/>
      <c r="N17" s="18"/>
      <c r="P17" s="75" t="str" cm="1">
        <f t="array" ref="P17">IF(OR(B2="",F2="Inactive"),"",IF(AND(H2&lt;&gt;"",I2&lt;&gt;""),(_xlfn.SWITCH(H2,"Critical",4,"High",3,"Medium",2,"Low",1,0))*(_xlfn.SWITCH(I2,"High",3,"Highly Probable",3,"Medium",2,"Probable",2,"Low",1,"Less Likely",1,0)),""))</f>
        <v/>
      </c>
      <c r="Q17" s="10" t="str">
        <f>IF(P2="","",IF(P2&gt;=9,"CRITICAL",IF(P2&gt;=6,"HIGH",IF(P2&gt;=3,"MEDIUM","LOW"))))</f>
        <v/>
      </c>
      <c r="R17" s="75" t="str">
        <f ca="1">IF(AND(D2&lt;&gt;"",OR(F2="Active",F2="Escalated to Issue")),TODAY()-D2,"")</f>
        <v/>
      </c>
    </row>
    <row r="18" spans="1:18">
      <c r="A18" s="10" t="s">
        <v>134</v>
      </c>
      <c r="D18" s="18"/>
      <c r="M18" s="18"/>
      <c r="N18" s="18"/>
      <c r="O18" s="18"/>
      <c r="P18" s="75" t="str" cm="1">
        <f t="array" ref="P18">IF(OR(B2="",F2="Inactive"),"",IF(AND(H2&lt;&gt;"",I2&lt;&gt;""),(_xlfn.SWITCH(H2,"Critical",4,"High",3,"Medium",2,"Low",1,0))*(_xlfn.SWITCH(I2,"High",3,"Highly Probable",3,"Medium",2,"Probable",2,"Low",1,"Less Likely",1,0)),""))</f>
        <v/>
      </c>
      <c r="Q18" s="10" t="str">
        <f>IF(P2="","",IF(P2&gt;=9,"CRITICAL",IF(P2&gt;=6,"HIGH",IF(P2&gt;=3,"MEDIUM","LOW"))))</f>
        <v/>
      </c>
      <c r="R18" s="75" t="str">
        <f ca="1">IF(AND(D2&lt;&gt;"",OR(F2="Active",F2="Escalated to Issue")),TODAY()-D2,"")</f>
        <v/>
      </c>
    </row>
    <row r="19" spans="1:18">
      <c r="A19" s="10" t="s">
        <v>135</v>
      </c>
      <c r="B19" s="61"/>
      <c r="D19" s="18"/>
      <c r="J19" s="6"/>
      <c r="K19" s="6"/>
      <c r="L19" s="6"/>
      <c r="M19" s="18"/>
      <c r="N19" s="18"/>
      <c r="P19" s="75" t="str" cm="1">
        <f t="array" ref="P19">IF(OR(B2="",F2="Inactive"),"",IF(AND(H2&lt;&gt;"",I2&lt;&gt;""),(_xlfn.SWITCH(H2,"Critical",4,"High",3,"Medium",2,"Low",1,0))*(_xlfn.SWITCH(I2,"High",3,"Highly Probable",3,"Medium",2,"Probable",2,"Low",1,"Less Likely",1,0)),""))</f>
        <v/>
      </c>
      <c r="Q19" s="10" t="str">
        <f>IF(P2="","",IF(P2&gt;=9,"CRITICAL",IF(P2&gt;=6,"HIGH",IF(P2&gt;=3,"MEDIUM","LOW"))))</f>
        <v/>
      </c>
      <c r="R19" s="75" t="str">
        <f ca="1">IF(AND(D2&lt;&gt;"",OR(F2="Active",F2="Escalated to Issue")),TODAY()-D2,"")</f>
        <v/>
      </c>
    </row>
    <row r="20" spans="1:18">
      <c r="A20" s="10" t="s">
        <v>136</v>
      </c>
      <c r="B20" s="6"/>
      <c r="D20" s="18"/>
      <c r="J20" s="6"/>
      <c r="K20" s="6"/>
      <c r="L20" s="6"/>
      <c r="M20" s="18"/>
      <c r="N20" s="18"/>
      <c r="P20" s="75" t="str" cm="1">
        <f t="array" ref="P20">IF(OR(B2="",F2="Inactive"),"",IF(AND(H2&lt;&gt;"",I2&lt;&gt;""),(_xlfn.SWITCH(H2,"Critical",4,"High",3,"Medium",2,"Low",1,0))*(_xlfn.SWITCH(I2,"High",3,"Highly Probable",3,"Medium",2,"Probable",2,"Low",1,"Less Likely",1,0)),""))</f>
        <v/>
      </c>
      <c r="Q20" s="10" t="str">
        <f>IF(P2="","",IF(P2&gt;=9,"CRITICAL",IF(P2&gt;=6,"HIGH",IF(P2&gt;=3,"MEDIUM","LOW"))))</f>
        <v/>
      </c>
      <c r="R20" s="75" t="str">
        <f ca="1">IF(AND(D2&lt;&gt;"",OR(F2="Active",F2="Escalated to Issue")),TODAY()-D2,"")</f>
        <v/>
      </c>
    </row>
    <row r="21" spans="1:18">
      <c r="A21" s="10" t="s">
        <v>137</v>
      </c>
      <c r="B21" s="6"/>
      <c r="D21" s="18"/>
      <c r="J21" s="6"/>
      <c r="K21" s="6"/>
      <c r="L21" s="6"/>
      <c r="M21" s="18"/>
      <c r="N21" s="18"/>
      <c r="P21" s="75" t="str" cm="1">
        <f t="array" ref="P21">IF(OR(B2="",F2="Inactive"),"",IF(AND(H2&lt;&gt;"",I2&lt;&gt;""),(_xlfn.SWITCH(H2,"Critical",4,"High",3,"Medium",2,"Low",1,0))*(_xlfn.SWITCH(I2,"High",3,"Highly Probable",3,"Medium",2,"Probable",2,"Low",1,"Less Likely",1,0)),""))</f>
        <v/>
      </c>
      <c r="Q21" s="10" t="str">
        <f>IF(P2="","",IF(P2&gt;=9,"CRITICAL",IF(P2&gt;=6,"HIGH",IF(P2&gt;=3,"MEDIUM","LOW"))))</f>
        <v/>
      </c>
      <c r="R21" s="75" t="str">
        <f ca="1">IF(AND(D2&lt;&gt;"",OR(F2="Active",F2="Escalated to Issue")),TODAY()-D2,"")</f>
        <v/>
      </c>
    </row>
    <row r="22" spans="1:18">
      <c r="A22" s="10" t="s">
        <v>138</v>
      </c>
      <c r="B22" s="61"/>
      <c r="D22" s="18"/>
      <c r="J22" s="6"/>
      <c r="K22" s="6"/>
      <c r="L22" s="6"/>
      <c r="M22" s="18"/>
      <c r="N22" s="18"/>
      <c r="P22" s="75" t="str" cm="1">
        <f t="array" ref="P22">IF(OR(B2="",F2="Inactive"),"",IF(AND(H2&lt;&gt;"",I2&lt;&gt;""),(_xlfn.SWITCH(H2,"Critical",4,"High",3,"Medium",2,"Low",1,0))*(_xlfn.SWITCH(I2,"High",3,"Highly Probable",3,"Medium",2,"Probable",2,"Low",1,"Less Likely",1,0)),""))</f>
        <v/>
      </c>
      <c r="Q22" s="10" t="str">
        <f>IF(P2="","",IF(P2&gt;=9,"CRITICAL",IF(P2&gt;=6,"HIGH",IF(P2&gt;=3,"MEDIUM","LOW"))))</f>
        <v/>
      </c>
      <c r="R22" s="75" t="str">
        <f ca="1">IF(AND(D2&lt;&gt;"",OR(F2="Active",F2="Escalated to Issue")),TODAY()-D2,"")</f>
        <v/>
      </c>
    </row>
    <row r="23" spans="1:18">
      <c r="A23" s="10" t="s">
        <v>139</v>
      </c>
      <c r="B23" s="61"/>
      <c r="D23" s="18"/>
      <c r="J23" s="6"/>
      <c r="K23" s="6"/>
      <c r="L23" s="6"/>
      <c r="M23" s="18"/>
      <c r="N23" s="18"/>
      <c r="P23" s="75" t="str" cm="1">
        <f t="array" ref="P23">IF(OR(B2="",F2="Inactive"),"",IF(AND(H2&lt;&gt;"",I2&lt;&gt;""),(_xlfn.SWITCH(H2,"Critical",4,"High",3,"Medium",2,"Low",1,0))*(_xlfn.SWITCH(I2,"High",3,"Highly Probable",3,"Medium",2,"Probable",2,"Low",1,"Less Likely",1,0)),""))</f>
        <v/>
      </c>
      <c r="Q23" s="10" t="str">
        <f>IF(P2="","",IF(P2&gt;=9,"CRITICAL",IF(P2&gt;=6,"HIGH",IF(P2&gt;=3,"MEDIUM","LOW"))))</f>
        <v/>
      </c>
      <c r="R23" s="75" t="str">
        <f ca="1">IF(AND(D2&lt;&gt;"",OR(F2="Active",F2="Escalated to Issue")),TODAY()-D2,"")</f>
        <v/>
      </c>
    </row>
    <row r="24" spans="1:18">
      <c r="A24" s="10" t="s">
        <v>140</v>
      </c>
      <c r="B24" s="6"/>
      <c r="D24" s="18"/>
      <c r="J24" s="6"/>
      <c r="K24" s="6"/>
      <c r="L24" s="6"/>
      <c r="M24" s="18"/>
      <c r="N24" s="18"/>
      <c r="P24" s="75" t="str" cm="1">
        <f t="array" ref="P24">IF(OR(B2="",F2="Inactive"),"",IF(AND(H2&lt;&gt;"",I2&lt;&gt;""),(_xlfn.SWITCH(H2,"Critical",4,"High",3,"Medium",2,"Low",1,0))*(_xlfn.SWITCH(I2,"High",3,"Highly Probable",3,"Medium",2,"Probable",2,"Low",1,"Less Likely",1,0)),""))</f>
        <v/>
      </c>
      <c r="Q24" s="10" t="str">
        <f>IF(P2="","",IF(P2&gt;=9,"CRITICAL",IF(P2&gt;=6,"HIGH",IF(P2&gt;=3,"MEDIUM","LOW"))))</f>
        <v/>
      </c>
      <c r="R24" s="75" t="str">
        <f ca="1">IF(AND(D2&lt;&gt;"",OR(F2="Active",F2="Escalated to Issue")),TODAY()-D2,"")</f>
        <v/>
      </c>
    </row>
    <row r="25" spans="1:18">
      <c r="A25" s="10" t="s">
        <v>141</v>
      </c>
      <c r="B25" s="61"/>
      <c r="D25" s="18"/>
      <c r="J25" s="6"/>
      <c r="K25" s="6"/>
      <c r="L25" s="6"/>
      <c r="M25" s="18"/>
      <c r="N25" s="18"/>
      <c r="P25" s="75" t="str" cm="1">
        <f t="array" ref="P25">IF(OR(B2="",F2="Inactive"),"",IF(AND(H2&lt;&gt;"",I2&lt;&gt;""),(_xlfn.SWITCH(H2,"Critical",4,"High",3,"Medium",2,"Low",1,0))*(_xlfn.SWITCH(I2,"High",3,"Highly Probable",3,"Medium",2,"Probable",2,"Low",1,"Less Likely",1,0)),""))</f>
        <v/>
      </c>
      <c r="Q25" s="10" t="str">
        <f>IF(P2="","",IF(P2&gt;=9,"CRITICAL",IF(P2&gt;=6,"HIGH",IF(P2&gt;=3,"MEDIUM","LOW"))))</f>
        <v/>
      </c>
      <c r="R25" s="75" t="str">
        <f ca="1">IF(AND(D2&lt;&gt;"",OR(F2="Active",F2="Escalated to Issue")),TODAY()-D2,"")</f>
        <v/>
      </c>
    </row>
    <row r="26" spans="1:18">
      <c r="A26" s="10" t="s">
        <v>142</v>
      </c>
      <c r="B26" s="61"/>
      <c r="D26" s="18"/>
      <c r="J26" s="6"/>
      <c r="K26" s="6"/>
      <c r="L26" s="6"/>
      <c r="M26" s="18"/>
      <c r="N26" s="18"/>
      <c r="P26" s="75" t="str" cm="1">
        <f t="array" ref="P26">IF(OR(B2="",F2="Inactive"),"",IF(AND(H2&lt;&gt;"",I2&lt;&gt;""),(_xlfn.SWITCH(H2,"Critical",4,"High",3,"Medium",2,"Low",1,0))*(_xlfn.SWITCH(I2,"High",3,"Highly Probable",3,"Medium",2,"Probable",2,"Low",1,"Less Likely",1,0)),""))</f>
        <v/>
      </c>
      <c r="Q26" s="10" t="str">
        <f>IF(P2="","",IF(P2&gt;=9,"CRITICAL",IF(P2&gt;=6,"HIGH",IF(P2&gt;=3,"MEDIUM","LOW"))))</f>
        <v/>
      </c>
      <c r="R26" s="75" t="str">
        <f ca="1">IF(AND(D2&lt;&gt;"",OR(F2="Active",F2="Escalated to Issue")),TODAY()-D2,"")</f>
        <v/>
      </c>
    </row>
    <row r="27" spans="1:18">
      <c r="A27" s="10" t="s">
        <v>143</v>
      </c>
      <c r="B27" s="61"/>
      <c r="D27" s="18"/>
      <c r="J27" s="6"/>
      <c r="K27" s="6"/>
      <c r="L27" s="6"/>
      <c r="M27" s="18"/>
      <c r="N27" s="18"/>
      <c r="P27" s="75" t="str" cm="1">
        <f t="array" ref="P27">IF(OR(B2="",F2="Inactive"),"",IF(AND(H2&lt;&gt;"",I2&lt;&gt;""),(_xlfn.SWITCH(H2,"Critical",4,"High",3,"Medium",2,"Low",1,0))*(_xlfn.SWITCH(I2,"High",3,"Highly Probable",3,"Medium",2,"Probable",2,"Low",1,"Less Likely",1,0)),""))</f>
        <v/>
      </c>
      <c r="Q27" s="10" t="str">
        <f>IF(P2="","",IF(P2&gt;=9,"CRITICAL",IF(P2&gt;=6,"HIGH",IF(P2&gt;=3,"MEDIUM","LOW"))))</f>
        <v/>
      </c>
      <c r="R27" s="75" t="str">
        <f ca="1">IF(AND(D2&lt;&gt;"",OR(F2="Active",F2="Escalated to Issue")),TODAY()-D2,"")</f>
        <v/>
      </c>
    </row>
    <row r="28" spans="1:18">
      <c r="A28" s="10" t="s">
        <v>144</v>
      </c>
      <c r="B28" s="61"/>
      <c r="D28" s="18"/>
      <c r="J28" s="6"/>
      <c r="K28" s="6"/>
      <c r="L28" s="6"/>
      <c r="M28" s="18"/>
      <c r="N28" s="18"/>
      <c r="P28" s="75" t="str" cm="1">
        <f t="array" ref="P28">IF(OR(B2="",F2="Inactive"),"",IF(AND(H2&lt;&gt;"",I2&lt;&gt;""),(_xlfn.SWITCH(H2,"Critical",4,"High",3,"Medium",2,"Low",1,0))*(_xlfn.SWITCH(I2,"High",3,"Highly Probable",3,"Medium",2,"Probable",2,"Low",1,"Less Likely",1,0)),""))</f>
        <v/>
      </c>
      <c r="Q28" s="10" t="str">
        <f>IF(P2="","",IF(P2&gt;=9,"CRITICAL",IF(P2&gt;=6,"HIGH",IF(P2&gt;=3,"MEDIUM","LOW"))))</f>
        <v/>
      </c>
      <c r="R28" s="75" t="str">
        <f ca="1">IF(AND(D2&lt;&gt;"",OR(F2="Active",F2="Escalated to Issue")),TODAY()-D2,"")</f>
        <v/>
      </c>
    </row>
    <row r="29" spans="1:18">
      <c r="A29" s="10" t="s">
        <v>145</v>
      </c>
      <c r="B29" s="61"/>
      <c r="D29" s="18"/>
      <c r="J29" s="6"/>
      <c r="K29" s="6"/>
      <c r="L29" s="6"/>
      <c r="M29" s="18"/>
      <c r="N29" s="18"/>
      <c r="P29" s="75" t="str" cm="1">
        <f t="array" ref="P29">IF(OR(B2="",F2="Inactive"),"",IF(AND(H2&lt;&gt;"",I2&lt;&gt;""),(_xlfn.SWITCH(H2,"Critical",4,"High",3,"Medium",2,"Low",1,0))*(_xlfn.SWITCH(I2,"High",3,"Highly Probable",3,"Medium",2,"Probable",2,"Low",1,"Less Likely",1,0)),""))</f>
        <v/>
      </c>
      <c r="Q29" s="10" t="str">
        <f>IF(P2="","",IF(P2&gt;=9,"CRITICAL",IF(P2&gt;=6,"HIGH",IF(P2&gt;=3,"MEDIUM","LOW"))))</f>
        <v/>
      </c>
      <c r="R29" s="75" t="str">
        <f ca="1">IF(AND(D2&lt;&gt;"",OR(F2="Active",F2="Escalated to Issue")),TODAY()-D2,"")</f>
        <v/>
      </c>
    </row>
    <row r="30" spans="1:18">
      <c r="A30" s="10" t="s">
        <v>146</v>
      </c>
      <c r="B30" s="6"/>
      <c r="D30" s="18"/>
      <c r="J30" s="6"/>
      <c r="K30" s="6"/>
      <c r="L30" s="6"/>
      <c r="M30" s="18"/>
      <c r="N30" s="18"/>
      <c r="P30" s="75" t="str" cm="1">
        <f t="array" ref="P30">IF(OR(B2="",F2="Inactive"),"",IF(AND(H2&lt;&gt;"",I2&lt;&gt;""),(_xlfn.SWITCH(H2,"Critical",4,"High",3,"Medium",2,"Low",1,0))*(_xlfn.SWITCH(I2,"High",3,"Highly Probable",3,"Medium",2,"Probable",2,"Low",1,"Less Likely",1,0)),""))</f>
        <v/>
      </c>
      <c r="Q30" s="10" t="str">
        <f>IF(P2="","",IF(P2&gt;=9,"CRITICAL",IF(P2&gt;=6,"HIGH",IF(P2&gt;=3,"MEDIUM","LOW"))))</f>
        <v/>
      </c>
      <c r="R30" s="75" t="str">
        <f ca="1">IF(AND(D2&lt;&gt;"",OR(F2="Active",F2="Escalated to Issue")),TODAY()-D2,"")</f>
        <v/>
      </c>
    </row>
    <row r="31" spans="1:18">
      <c r="A31" s="10" t="s">
        <v>147</v>
      </c>
      <c r="B31" s="6"/>
      <c r="J31" s="6"/>
      <c r="K31" s="6"/>
      <c r="L31" s="6"/>
      <c r="M31" s="18"/>
      <c r="N31" s="18"/>
      <c r="P31" s="75" t="str" cm="1">
        <f t="array" ref="P31">IF(OR(B2="",F2="Inactive"),"",IF(AND(H2&lt;&gt;"",I2&lt;&gt;""),(_xlfn.SWITCH(H2,"Critical",4,"High",3,"Medium",2,"Low",1,0))*(_xlfn.SWITCH(I2,"High",3,"Highly Probable",3,"Medium",2,"Probable",2,"Low",1,"Less Likely",1,0)),""))</f>
        <v/>
      </c>
      <c r="Q31" s="10" t="str">
        <f>IF(P2="","",IF(P2&gt;=9,"CRITICAL",IF(P2&gt;=6,"HIGH",IF(P2&gt;=3,"MEDIUM","LOW"))))</f>
        <v/>
      </c>
      <c r="R31" s="75" t="str">
        <f ca="1">IF(AND(D2&lt;&gt;"",OR(F2="Active",F2="Escalated to Issue")),TODAY()-D2,"")</f>
        <v/>
      </c>
    </row>
    <row r="32" spans="1:18">
      <c r="A32" s="10" t="s">
        <v>148</v>
      </c>
      <c r="P32" s="75" t="str" cm="1">
        <f t="array" ref="P32">IF(OR(B2="",F2="Inactive"),"",IF(AND(H2&lt;&gt;"",I2&lt;&gt;""),(_xlfn.SWITCH(H2,"Critical",4,"High",3,"Medium",2,"Low",1,0))*(_xlfn.SWITCH(I2,"High",3,"Highly Probable",3,"Medium",2,"Probable",2,"Low",1,"Less Likely",1,0)),""))</f>
        <v/>
      </c>
      <c r="Q32" s="10" t="str">
        <f>IF(P2="","",IF(P2&gt;=9,"CRITICAL",IF(P2&gt;=6,"HIGH",IF(P2&gt;=3,"MEDIUM","LOW"))))</f>
        <v/>
      </c>
      <c r="R32" s="75" t="str">
        <f ca="1">IF(AND(D2&lt;&gt;"",OR(F2="Active",F2="Escalated to Issue")),TODAY()-D2,"")</f>
        <v/>
      </c>
    </row>
    <row r="33" spans="1:18">
      <c r="A33" s="10" t="s">
        <v>149</v>
      </c>
      <c r="P33" s="75" t="str" cm="1">
        <f t="array" ref="P33">IF(OR(B2="",F2="Inactive"),"",IF(AND(H2&lt;&gt;"",I2&lt;&gt;""),(_xlfn.SWITCH(H2,"Critical",4,"High",3,"Medium",2,"Low",1,0))*(_xlfn.SWITCH(I2,"High",3,"Highly Probable",3,"Medium",2,"Probable",2,"Low",1,"Less Likely",1,0)),""))</f>
        <v/>
      </c>
      <c r="Q33" s="10" t="str">
        <f>IF(P2="","",IF(P2&gt;=9,"CRITICAL",IF(P2&gt;=6,"HIGH",IF(P2&gt;=3,"MEDIUM","LOW"))))</f>
        <v/>
      </c>
      <c r="R33" s="75" t="str">
        <f ca="1">IF(AND(D2&lt;&gt;"",OR(F2="Active",F2="Escalated to Issue")),TODAY()-D2,"")</f>
        <v/>
      </c>
    </row>
    <row r="34" spans="1:18">
      <c r="A34" s="10" t="s">
        <v>150</v>
      </c>
      <c r="P34" s="75" t="str" cm="1">
        <f t="array" ref="P34">IF(OR(B2="",F2="Inactive"),"",IF(AND(H2&lt;&gt;"",I2&lt;&gt;""),(_xlfn.SWITCH(H2,"Critical",4,"High",3,"Medium",2,"Low",1,0))*(_xlfn.SWITCH(I2,"High",3,"Highly Probable",3,"Medium",2,"Probable",2,"Low",1,"Less Likely",1,0)),""))</f>
        <v/>
      </c>
      <c r="Q34" s="10" t="str">
        <f>IF(P2="","",IF(P2&gt;=9,"CRITICAL",IF(P2&gt;=6,"HIGH",IF(P2&gt;=3,"MEDIUM","LOW"))))</f>
        <v/>
      </c>
      <c r="R34" s="75" t="str">
        <f ca="1">IF(AND(D2&lt;&gt;"",OR(F2="Active",F2="Escalated to Issue")),TODAY()-D2,"")</f>
        <v/>
      </c>
    </row>
    <row r="35" spans="1:18">
      <c r="A35" s="10" t="s">
        <v>151</v>
      </c>
      <c r="B35" s="61"/>
      <c r="D35" s="18"/>
      <c r="J35" s="6"/>
      <c r="K35" s="6"/>
      <c r="L35" s="6"/>
      <c r="M35" s="18"/>
      <c r="N35" s="18"/>
      <c r="P35" s="75" t="str" cm="1">
        <f t="array" ref="P35">IF(OR(B2="",F2="Inactive"),"",IF(AND(H2&lt;&gt;"",I2&lt;&gt;""),(_xlfn.SWITCH(H2,"Critical",4,"High",3,"Medium",2,"Low",1,0))*(_xlfn.SWITCH(I2,"High",3,"Highly Probable",3,"Medium",2,"Probable",2,"Low",1,"Less Likely",1,0)),""))</f>
        <v/>
      </c>
      <c r="Q35" s="10" t="str">
        <f>IF(P2="","",IF(P2&gt;=9,"CRITICAL",IF(P2&gt;=6,"HIGH",IF(P2&gt;=3,"MEDIUM","LOW"))))</f>
        <v/>
      </c>
      <c r="R35" s="75" t="str">
        <f ca="1">IF(AND(D2&lt;&gt;"",OR(F2="Active",F2="Escalated to Issue")),TODAY()-D2,"")</f>
        <v/>
      </c>
    </row>
    <row r="36" spans="1:18">
      <c r="A36" s="10" t="s">
        <v>152</v>
      </c>
      <c r="B36" s="61"/>
      <c r="D36" s="18"/>
      <c r="J36" s="6"/>
      <c r="K36" s="6"/>
      <c r="L36" s="6"/>
      <c r="M36" s="18"/>
      <c r="N36" s="18"/>
      <c r="P36" s="75" t="str" cm="1">
        <f t="array" ref="P36">IF(OR(B2="",F2="Inactive"),"",IF(AND(H2&lt;&gt;"",I2&lt;&gt;""),(_xlfn.SWITCH(H2,"Critical",4,"High",3,"Medium",2,"Low",1,0))*(_xlfn.SWITCH(I2,"High",3,"Highly Probable",3,"Medium",2,"Probable",2,"Low",1,"Less Likely",1,0)),""))</f>
        <v/>
      </c>
      <c r="Q36" s="10" t="str">
        <f>IF(P2="","",IF(P2&gt;=9,"CRITICAL",IF(P2&gt;=6,"HIGH",IF(P2&gt;=3,"MEDIUM","LOW"))))</f>
        <v/>
      </c>
      <c r="R36" s="75" t="str">
        <f ca="1">IF(AND(D2&lt;&gt;"",OR(F2="Active",F2="Escalated to Issue")),TODAY()-D2,"")</f>
        <v/>
      </c>
    </row>
    <row r="37" spans="1:18">
      <c r="A37" s="10" t="s">
        <v>153</v>
      </c>
      <c r="B37" s="61"/>
      <c r="D37" s="18"/>
      <c r="J37" s="6"/>
      <c r="K37" s="6"/>
      <c r="L37" s="6"/>
      <c r="M37" s="18"/>
      <c r="N37" s="18"/>
      <c r="P37" s="75" t="str" cm="1">
        <f t="array" ref="P37">IF(OR(B2="",F2="Inactive"),"",IF(AND(H2&lt;&gt;"",I2&lt;&gt;""),(_xlfn.SWITCH(H2,"Critical",4,"High",3,"Medium",2,"Low",1,0))*(_xlfn.SWITCH(I2,"High",3,"Highly Probable",3,"Medium",2,"Probable",2,"Low",1,"Less Likely",1,0)),""))</f>
        <v/>
      </c>
      <c r="Q37" s="10" t="str">
        <f>IF(P2="","",IF(P2&gt;=9,"CRITICAL",IF(P2&gt;=6,"HIGH",IF(P2&gt;=3,"MEDIUM","LOW"))))</f>
        <v/>
      </c>
      <c r="R37" s="75" t="str">
        <f ca="1">IF(AND(D2&lt;&gt;"",OR(F2="Active",F2="Escalated to Issue")),TODAY()-D2,"")</f>
        <v/>
      </c>
    </row>
    <row r="38" spans="1:18">
      <c r="A38" s="10" t="s">
        <v>155</v>
      </c>
      <c r="B38" s="61"/>
      <c r="D38" s="18"/>
      <c r="J38" s="6"/>
      <c r="K38" s="6"/>
      <c r="L38" s="6"/>
      <c r="M38" s="18"/>
      <c r="N38" s="18"/>
      <c r="P38" s="75" t="str" cm="1">
        <f t="array" ref="P38">IF(OR(B2="",F2="Inactive"),"",IF(AND(H2&lt;&gt;"",I2&lt;&gt;""),(_xlfn.SWITCH(H2,"Critical",4,"High",3,"Medium",2,"Low",1,0))*(_xlfn.SWITCH(I2,"High",3,"Highly Probable",3,"Medium",2,"Probable",2,"Low",1,"Less Likely",1,0)),""))</f>
        <v/>
      </c>
      <c r="Q38" s="10" t="str">
        <f>IF(P2="","",IF(P2&gt;=9,"CRITICAL",IF(P2&gt;=6,"HIGH",IF(P2&gt;=3,"MEDIUM","LOW"))))</f>
        <v/>
      </c>
      <c r="R38" s="75" t="str">
        <f ca="1">IF(AND(D2&lt;&gt;"",OR(F2="Active",F2="Escalated to Issue")),TODAY()-D2,"")</f>
        <v/>
      </c>
    </row>
  </sheetData>
  <autoFilter ref="A1:N38" xr:uid="{00000000-0009-0000-0000-000004000000}"/>
  <phoneticPr fontId="27" type="noConversion"/>
  <conditionalFormatting sqref="F1:F1048576">
    <cfRule type="cellIs" dxfId="14" priority="1" stopIfTrue="1" operator="equal">
      <formula>"Escalated to Issue"</formula>
    </cfRule>
    <cfRule type="cellIs" dxfId="13" priority="2" stopIfTrue="1" operator="equal">
      <formula>"Expired"</formula>
    </cfRule>
    <cfRule type="cellIs" dxfId="12" priority="3" stopIfTrue="1" operator="equal">
      <formula>"Active"</formula>
    </cfRule>
  </conditionalFormatting>
  <conditionalFormatting sqref="F2:F38">
    <cfRule type="containsText" dxfId="11" priority="7" operator="containsText" text="Active">
      <formula>NOT(ISERROR(SEARCH("Active",F2)))</formula>
    </cfRule>
    <cfRule type="containsText" dxfId="10" priority="8" operator="containsText" text="Escalated">
      <formula>NOT(ISERROR(SEARCH("Escalated",F2)))</formula>
    </cfRule>
    <cfRule type="containsText" dxfId="9" priority="9" operator="containsText" text="Inactive">
      <formula>NOT(ISERROR(SEARCH("Inactive",F2)))</formula>
    </cfRule>
  </conditionalFormatting>
  <conditionalFormatting sqref="Q2:Q38">
    <cfRule type="containsText" dxfId="8" priority="4" operator="containsText" text="CRITICAL">
      <formula>NOT(ISERROR(SEARCH("CRITICAL",Q2)))</formula>
    </cfRule>
    <cfRule type="containsText" dxfId="7" priority="5" operator="containsText" text="HIGH">
      <formula>NOT(ISERROR(SEARCH("HIGH",Q2)))</formula>
    </cfRule>
    <cfRule type="containsText" dxfId="6" priority="6" operator="containsText" text="MEDIUM">
      <formula>NOT(ISERROR(SEARCH("MEDIUM",Q2)))</formula>
    </cfRule>
  </conditionalFormatting>
  <dataValidations count="3">
    <dataValidation type="list" allowBlank="1" showInputMessage="1" showErrorMessage="1" sqref="F2:F38" xr:uid="{3084AB35-211E-4657-8EA2-614CE5F372AE}">
      <formula1>"Active,Inactive,Escalated to Issue"</formula1>
    </dataValidation>
    <dataValidation type="list" allowBlank="1" showInputMessage="1" showErrorMessage="1" sqref="G2:H11" xr:uid="{BB93FEB8-D522-4DDD-92FB-7064F62E90A2}">
      <formula1>"Low,Medium,High,Critical"</formula1>
    </dataValidation>
    <dataValidation type="list" allowBlank="1" showInputMessage="1" showErrorMessage="1" sqref="I2:I11" xr:uid="{42283C4B-7149-4D80-9D39-8F7AE5C8254E}">
      <formula1>"Less Likely,Probable,Highly Probable"</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3000000}">
          <x14:formula1>
            <xm:f>Reference!$D$2:$D$5</xm:f>
          </x14:formula1>
          <xm:sqref>H33:H34 H39:H1048576</xm:sqref>
        </x14:dataValidation>
        <x14:dataValidation type="list" allowBlank="1" showInputMessage="1" showErrorMessage="1" xr:uid="{00000000-0002-0000-0400-000004000000}">
          <x14:formula1>
            <xm:f>Reference!$E$2:$E$4</xm:f>
          </x14:formula1>
          <xm:sqref>I33:I34 I39:I1048576</xm:sqref>
        </x14:dataValidation>
        <x14:dataValidation type="list" allowBlank="1" showInputMessage="1" showErrorMessage="1" xr:uid="{00000000-0002-0000-0400-000002000000}">
          <x14:formula1>
            <xm:f>Reference!$C$2:$C$5</xm:f>
          </x14:formula1>
          <xm:sqref>H14:I21 G39:G1048576 G33:G34 G35:I38 G22:I32 G12:I13</xm:sqref>
        </x14:dataValidation>
        <x14:dataValidation type="list" allowBlank="1" showInputMessage="1" showErrorMessage="1" xr:uid="{00000000-0002-0000-0400-000000000000}">
          <x14:formula1>
            <xm:f>Reference!$A$2:$A$4</xm:f>
          </x14:formula1>
          <xm:sqref>F39:F1048576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8"/>
  <sheetViews>
    <sheetView zoomScale="70" zoomScaleNormal="70" workbookViewId="0">
      <pane ySplit="1" topLeftCell="A5" activePane="bottomLeft" state="frozen"/>
      <selection pane="bottomLeft" activeCell="G3" sqref="G3"/>
    </sheetView>
  </sheetViews>
  <sheetFormatPr defaultColWidth="9.109375" defaultRowHeight="14.4"/>
  <cols>
    <col min="1" max="1" width="11.109375" style="5" customWidth="1"/>
    <col min="2" max="2" width="44.44140625" style="5" customWidth="1"/>
    <col min="3" max="3" width="20.44140625" style="19" bestFit="1" customWidth="1"/>
    <col min="4" max="4" width="8.5546875" style="11" customWidth="1"/>
    <col min="5" max="5" width="13.109375" style="8" bestFit="1" customWidth="1"/>
    <col min="6" max="7" width="35.21875" style="8" customWidth="1"/>
    <col min="8" max="8" width="44.44140625" style="6" customWidth="1"/>
    <col min="9" max="9" width="35.21875" style="8" customWidth="1"/>
    <col min="10" max="10" width="44.44140625" style="5" customWidth="1"/>
    <col min="11" max="11" width="14.5546875" style="5" customWidth="1"/>
    <col min="12" max="12" width="19.109375" style="5" customWidth="1"/>
    <col min="13" max="13" width="18" style="5" customWidth="1"/>
    <col min="14" max="14" width="16.5546875" style="13" bestFit="1" customWidth="1"/>
    <col min="15" max="17" width="16" style="8" customWidth="1"/>
    <col min="18" max="16384" width="9.109375" style="5"/>
  </cols>
  <sheetData>
    <row r="1" spans="1:17">
      <c r="A1" s="82" t="s">
        <v>67</v>
      </c>
      <c r="B1" s="83" t="s">
        <v>68</v>
      </c>
      <c r="C1" s="83" t="s">
        <v>9</v>
      </c>
      <c r="D1" s="83" t="s">
        <v>12</v>
      </c>
      <c r="E1" s="82" t="s">
        <v>14</v>
      </c>
      <c r="F1" s="82" t="s">
        <v>69</v>
      </c>
      <c r="G1" s="82" t="s">
        <v>173</v>
      </c>
      <c r="H1" s="82" t="s">
        <v>174</v>
      </c>
      <c r="I1" s="82" t="s">
        <v>37</v>
      </c>
      <c r="J1" s="83" t="s">
        <v>17</v>
      </c>
      <c r="K1" s="83" t="s">
        <v>70</v>
      </c>
      <c r="L1" s="83" t="s">
        <v>71</v>
      </c>
      <c r="M1" s="83" t="s">
        <v>40</v>
      </c>
      <c r="N1" s="84" t="s">
        <v>72</v>
      </c>
      <c r="O1" s="76" t="s">
        <v>387</v>
      </c>
      <c r="P1" s="76" t="s">
        <v>383</v>
      </c>
      <c r="Q1" s="76" t="s">
        <v>388</v>
      </c>
    </row>
    <row r="2" spans="1:17" ht="57.6">
      <c r="A2" s="7" t="s">
        <v>73</v>
      </c>
      <c r="B2" s="6" t="s">
        <v>317</v>
      </c>
      <c r="C2" s="10" t="s">
        <v>254</v>
      </c>
      <c r="D2" s="10" t="s">
        <v>21</v>
      </c>
      <c r="E2" s="7" t="s">
        <v>24</v>
      </c>
      <c r="F2" s="7" t="s">
        <v>276</v>
      </c>
      <c r="G2" s="7"/>
      <c r="H2" s="6" t="s">
        <v>275</v>
      </c>
      <c r="I2" s="10" t="s">
        <v>254</v>
      </c>
      <c r="J2" s="38" t="s">
        <v>305</v>
      </c>
      <c r="K2" s="18">
        <v>46034</v>
      </c>
      <c r="L2" s="18">
        <v>46042</v>
      </c>
      <c r="M2" s="18">
        <v>46061</v>
      </c>
      <c r="N2" s="12"/>
      <c r="O2" s="72">
        <f ca="1">IF(AND(K2&lt;&gt;"",D2="Active"),TODAY()-K2,IF(AND(K2&lt;&gt;"",N2&lt;&gt;""),N2-K2,""))</f>
        <v>103</v>
      </c>
      <c r="P2" s="72">
        <f ca="1">IF(AND(D2="Active",OR(L2&lt;&gt;"",M2&lt;&gt;"")),MAX(0,TODAY()-IF(M2&lt;&gt;"",M2,L2)),"")</f>
        <v>76</v>
      </c>
      <c r="Q2" s="8" t="str">
        <f>IF(D2="Closed","✓ Resolved",IF(AND(E2="Critical",D2="Active"),"🔴 URGENT",IF(AND(E2="High",D2="Active"),"🟠 High Priority",IF(D2="Active","🟡 Active",""))))</f>
        <v>🟠 High Priority</v>
      </c>
    </row>
    <row r="3" spans="1:17" ht="259.2">
      <c r="A3" s="7" t="s">
        <v>74</v>
      </c>
      <c r="B3" s="7" t="s">
        <v>269</v>
      </c>
      <c r="C3" s="10" t="s">
        <v>273</v>
      </c>
      <c r="D3" s="10" t="s">
        <v>120</v>
      </c>
      <c r="E3" s="7" t="s">
        <v>22</v>
      </c>
      <c r="F3" s="6" t="s">
        <v>277</v>
      </c>
      <c r="G3" s="6"/>
      <c r="H3" s="6" t="s">
        <v>268</v>
      </c>
      <c r="I3" s="10" t="s">
        <v>254</v>
      </c>
      <c r="J3" s="38" t="s">
        <v>416</v>
      </c>
      <c r="K3" s="18">
        <v>46042</v>
      </c>
      <c r="L3" s="18">
        <v>46037</v>
      </c>
      <c r="M3" s="18">
        <v>46063</v>
      </c>
      <c r="N3" s="12">
        <v>46083</v>
      </c>
      <c r="O3" s="72">
        <f ca="1">IF(AND(K2&lt;&gt;"",D2="Active"),TODAY()-K2,IF(AND(K2&lt;&gt;"",N2&lt;&gt;""),N2-K2,""))</f>
        <v>103</v>
      </c>
      <c r="P3" s="72">
        <f ca="1">IF(AND(D2="Active",OR(L2&lt;&gt;"",M2&lt;&gt;"")),MAX(0,TODAY()-IF(M2&lt;&gt;"",M2,L2)),"")</f>
        <v>76</v>
      </c>
      <c r="Q3" s="8" t="str">
        <f>IF(D2="Closed","✓ Resolved",IF(AND(E2="Critical",D2="Active"),"🔴 URGENT",IF(AND(E2="High",D2="Active"),"🟠 High Priority",IF(D2="Active","🟡 Active",""))))</f>
        <v>🟠 High Priority</v>
      </c>
    </row>
    <row r="4" spans="1:17" ht="57.6">
      <c r="A4" s="7" t="s">
        <v>75</v>
      </c>
      <c r="B4" s="7" t="s">
        <v>265</v>
      </c>
      <c r="C4" s="10" t="s">
        <v>273</v>
      </c>
      <c r="D4" s="10" t="s">
        <v>120</v>
      </c>
      <c r="E4" s="7" t="s">
        <v>22</v>
      </c>
      <c r="F4" s="6" t="s">
        <v>278</v>
      </c>
      <c r="G4" s="6"/>
      <c r="H4" s="6" t="s">
        <v>270</v>
      </c>
      <c r="I4" s="10" t="s">
        <v>254</v>
      </c>
      <c r="J4" s="38" t="s">
        <v>311</v>
      </c>
      <c r="K4" s="18">
        <v>46049</v>
      </c>
      <c r="L4" s="18">
        <v>46027</v>
      </c>
      <c r="M4" s="18">
        <v>46055</v>
      </c>
      <c r="N4" s="12"/>
      <c r="O4" s="72">
        <f ca="1">IF(AND(K2&lt;&gt;"",D2="Active"),TODAY()-K2,IF(AND(K2&lt;&gt;"",N2&lt;&gt;""),N2-K2,""))</f>
        <v>103</v>
      </c>
      <c r="P4" s="72">
        <f ca="1">IF(AND(D2="Active",OR(L2&lt;&gt;"",M2&lt;&gt;"")),MAX(0,TODAY()-IF(M2&lt;&gt;"",M2,L2)),"")</f>
        <v>76</v>
      </c>
      <c r="Q4" s="8" t="str">
        <f>IF(D2="Closed","✓ Resolved",IF(AND(E2="Critical",D2="Active"),"🔴 URGENT",IF(AND(E2="High",D2="Active"),"🟠 High Priority",IF(D2="Active","🟡 Active",""))))</f>
        <v>🟠 High Priority</v>
      </c>
    </row>
    <row r="5" spans="1:17" ht="244.8">
      <c r="A5" s="7" t="s">
        <v>76</v>
      </c>
      <c r="B5" s="7" t="s">
        <v>266</v>
      </c>
      <c r="C5" s="10" t="s">
        <v>273</v>
      </c>
      <c r="D5" s="10" t="s">
        <v>120</v>
      </c>
      <c r="E5" s="7" t="s">
        <v>22</v>
      </c>
      <c r="F5" s="7" t="s">
        <v>279</v>
      </c>
      <c r="G5" s="7" t="s">
        <v>337</v>
      </c>
      <c r="H5" s="6" t="s">
        <v>271</v>
      </c>
      <c r="I5" s="10" t="s">
        <v>254</v>
      </c>
      <c r="J5" s="38" t="s">
        <v>336</v>
      </c>
      <c r="K5" s="18">
        <v>46036</v>
      </c>
      <c r="L5" s="18">
        <v>46027</v>
      </c>
      <c r="M5" s="18">
        <v>46063</v>
      </c>
      <c r="N5" s="18">
        <v>46068</v>
      </c>
      <c r="O5" s="72">
        <f ca="1">IF(AND(K2&lt;&gt;"",D2="Active"),TODAY()-K2,IF(AND(K2&lt;&gt;"",N2&lt;&gt;""),N2-K2,""))</f>
        <v>103</v>
      </c>
      <c r="P5" s="72">
        <f ca="1">IF(AND(D2="Active",OR(L2&lt;&gt;"",M2&lt;&gt;"")),MAX(0,TODAY()-IF(M2&lt;&gt;"",M2,L2)),"")</f>
        <v>76</v>
      </c>
      <c r="Q5" s="8" t="str">
        <f>IF(D2="Closed","✓ Resolved",IF(AND(E2="Critical",D2="Active"),"🔴 URGENT",IF(AND(E2="High",D2="Active"),"🟠 High Priority",IF(D2="Active","🟡 Active",""))))</f>
        <v>🟠 High Priority</v>
      </c>
    </row>
    <row r="6" spans="1:17" ht="43.2">
      <c r="A6" s="7" t="s">
        <v>77</v>
      </c>
      <c r="B6" s="7" t="s">
        <v>267</v>
      </c>
      <c r="C6" s="10" t="s">
        <v>254</v>
      </c>
      <c r="D6" s="10" t="s">
        <v>21</v>
      </c>
      <c r="E6" s="7" t="s">
        <v>22</v>
      </c>
      <c r="F6" s="6" t="s">
        <v>280</v>
      </c>
      <c r="G6" s="7"/>
      <c r="H6" s="6" t="s">
        <v>272</v>
      </c>
      <c r="I6" s="10" t="s">
        <v>254</v>
      </c>
      <c r="J6" s="38" t="s">
        <v>315</v>
      </c>
      <c r="K6" s="18">
        <v>46056</v>
      </c>
      <c r="L6" s="18">
        <v>46023</v>
      </c>
      <c r="M6" s="18"/>
      <c r="N6" s="24"/>
      <c r="O6" s="72">
        <f ca="1">IF(AND(K2&lt;&gt;"",D2="Active"),TODAY()-K2,IF(AND(K2&lt;&gt;"",N2&lt;&gt;""),N2-K2,""))</f>
        <v>103</v>
      </c>
      <c r="P6" s="72">
        <f ca="1">IF(AND(D2="Active",OR(L2&lt;&gt;"",M2&lt;&gt;"")),MAX(0,TODAY()-IF(M2&lt;&gt;"",M2,L2)),"")</f>
        <v>76</v>
      </c>
      <c r="Q6" s="8" t="str">
        <f>IF(D2="Closed","✓ Resolved",IF(AND(E2="Critical",D2="Active"),"🔴 URGENT",IF(AND(E2="High",D2="Active"),"🟠 High Priority",IF(D2="Active","🟡 Active",""))))</f>
        <v>🟠 High Priority</v>
      </c>
    </row>
    <row r="7" spans="1:17">
      <c r="A7" s="7" t="s">
        <v>78</v>
      </c>
      <c r="B7" s="28"/>
      <c r="C7" s="10"/>
      <c r="D7" s="10"/>
      <c r="E7" s="7"/>
      <c r="F7" s="6"/>
      <c r="G7" s="7"/>
      <c r="I7" s="7"/>
      <c r="J7" s="4"/>
      <c r="K7" s="25"/>
      <c r="L7" s="23"/>
      <c r="M7" s="23"/>
      <c r="N7" s="25"/>
      <c r="O7" s="72">
        <f ca="1">IF(AND(K2&lt;&gt;"",D2="Active"),TODAY()-K2,IF(AND(K2&lt;&gt;"",N2&lt;&gt;""),N2-K2,""))</f>
        <v>103</v>
      </c>
      <c r="P7" s="72">
        <f ca="1">IF(AND(D2="Active",OR(L2&lt;&gt;"",M2&lt;&gt;"")),MAX(0,TODAY()-IF(M2&lt;&gt;"",M2,L2)),"")</f>
        <v>76</v>
      </c>
      <c r="Q7" s="8" t="str">
        <f>IF(D2="Closed","✓ Resolved",IF(AND(E2="Critical",D2="Active"),"🔴 URGENT",IF(AND(E2="High",D2="Active"),"🟠 High Priority",IF(D2="Active","🟡 Active",""))))</f>
        <v>🟠 High Priority</v>
      </c>
    </row>
    <row r="8" spans="1:17">
      <c r="A8" s="7" t="s">
        <v>79</v>
      </c>
      <c r="B8" s="28"/>
      <c r="C8" s="10"/>
      <c r="D8" s="10"/>
      <c r="E8" s="7"/>
      <c r="F8" s="7"/>
      <c r="G8" s="7"/>
      <c r="I8" s="7"/>
      <c r="J8" s="4"/>
      <c r="K8" s="25"/>
      <c r="L8" s="23"/>
      <c r="M8" s="23"/>
      <c r="N8" s="25"/>
      <c r="O8" s="72">
        <f ca="1">IF(AND(K2&lt;&gt;"",D2="Active"),TODAY()-K2,IF(AND(K2&lt;&gt;"",N2&lt;&gt;""),N2-K2,""))</f>
        <v>103</v>
      </c>
      <c r="P8" s="72">
        <f ca="1">IF(AND(D2="Active",OR(L2&lt;&gt;"",M2&lt;&gt;"")),MAX(0,TODAY()-IF(M2&lt;&gt;"",M2,L2)),"")</f>
        <v>76</v>
      </c>
      <c r="Q8" s="8" t="str">
        <f>IF(D2="Closed","✓ Resolved",IF(AND(E2="Critical",D2="Active"),"🔴 URGENT",IF(AND(E2="High",D2="Active"),"🟠 High Priority",IF(D2="Active","🟡 Active",""))))</f>
        <v>🟠 High Priority</v>
      </c>
    </row>
    <row r="9" spans="1:17">
      <c r="A9" s="7" t="s">
        <v>80</v>
      </c>
      <c r="B9" s="4"/>
      <c r="C9" s="4"/>
      <c r="D9" s="10"/>
      <c r="E9" s="7"/>
      <c r="F9" s="7"/>
      <c r="G9" s="7"/>
      <c r="I9" s="7"/>
      <c r="J9" s="4"/>
      <c r="K9" s="25"/>
      <c r="L9" s="23"/>
      <c r="M9" s="23"/>
      <c r="N9" s="25"/>
      <c r="O9" s="72">
        <f ca="1">IF(AND(K2&lt;&gt;"",D2="Active"),TODAY()-K2,IF(AND(K2&lt;&gt;"",N2&lt;&gt;""),N2-K2,""))</f>
        <v>103</v>
      </c>
      <c r="P9" s="72">
        <f ca="1">IF(AND(D2="Active",OR(L2&lt;&gt;"",M2&lt;&gt;"")),MAX(0,TODAY()-IF(M2&lt;&gt;"",M2,L2)),"")</f>
        <v>76</v>
      </c>
      <c r="Q9" s="8" t="str">
        <f>IF(D2="Closed","✓ Resolved",IF(AND(E2="Critical",D2="Active"),"🔴 URGENT",IF(AND(E2="High",D2="Active"),"🟠 High Priority",IF(D2="Active","🟡 Active",""))))</f>
        <v>🟠 High Priority</v>
      </c>
    </row>
    <row r="10" spans="1:17">
      <c r="A10" s="7" t="s">
        <v>81</v>
      </c>
      <c r="B10" s="23"/>
      <c r="C10" s="4"/>
      <c r="D10" s="10"/>
      <c r="E10" s="7"/>
      <c r="F10" s="7"/>
      <c r="G10" s="7"/>
      <c r="I10" s="7"/>
      <c r="J10" s="4"/>
      <c r="K10" s="25"/>
      <c r="L10" s="23"/>
      <c r="M10" s="23"/>
      <c r="N10" s="25"/>
      <c r="O10" s="72">
        <f ca="1">IF(AND(K2&lt;&gt;"",D2="Active"),TODAY()-K2,IF(AND(K2&lt;&gt;"",N2&lt;&gt;""),N2-K2,""))</f>
        <v>103</v>
      </c>
      <c r="P10" s="72">
        <f ca="1">IF(AND(D2="Active",OR(L2&lt;&gt;"",M2&lt;&gt;"")),MAX(0,TODAY()-IF(M2&lt;&gt;"",M2,L2)),"")</f>
        <v>76</v>
      </c>
      <c r="Q10" s="8" t="str">
        <f>IF(D2="Closed","✓ Resolved",IF(AND(E2="Critical",D2="Active"),"🔴 URGENT",IF(AND(E2="High",D2="Active"),"🟠 High Priority",IF(D2="Active","🟡 Active",""))))</f>
        <v>🟠 High Priority</v>
      </c>
    </row>
    <row r="11" spans="1:17">
      <c r="A11" s="7" t="s">
        <v>82</v>
      </c>
      <c r="B11" s="4"/>
      <c r="C11" s="4"/>
      <c r="D11" s="10"/>
      <c r="E11" s="7"/>
      <c r="F11" s="7"/>
      <c r="G11" s="7"/>
      <c r="I11" s="7"/>
      <c r="J11" s="4"/>
      <c r="K11" s="23"/>
      <c r="L11" s="23"/>
      <c r="M11" s="23"/>
      <c r="N11" s="23"/>
      <c r="O11" s="72">
        <f ca="1">IF(AND(K2&lt;&gt;"",D2="Active"),TODAY()-K2,IF(AND(K2&lt;&gt;"",N2&lt;&gt;""),N2-K2,""))</f>
        <v>103</v>
      </c>
      <c r="P11" s="72">
        <f ca="1">IF(AND(D2="Active",OR(L2&lt;&gt;"",M2&lt;&gt;"")),MAX(0,TODAY()-IF(M2&lt;&gt;"",M2,L2)),"")</f>
        <v>76</v>
      </c>
      <c r="Q11" s="8" t="str">
        <f>IF(D2="Closed","✓ Resolved",IF(AND(E2="Critical",D2="Active"),"🔴 URGENT",IF(AND(E2="High",D2="Active"),"🟠 High Priority",IF(D2="Active","🟡 Active",""))))</f>
        <v>🟠 High Priority</v>
      </c>
    </row>
    <row r="12" spans="1:17">
      <c r="A12" s="7" t="s">
        <v>83</v>
      </c>
      <c r="B12" s="4"/>
      <c r="C12" s="4"/>
      <c r="D12" s="10"/>
      <c r="E12" s="7"/>
      <c r="F12" s="7"/>
      <c r="G12" s="7"/>
      <c r="I12" s="7"/>
      <c r="J12" s="23"/>
      <c r="K12" s="23"/>
      <c r="L12" s="23"/>
      <c r="M12" s="23"/>
      <c r="N12" s="23"/>
      <c r="O12" s="72">
        <f ca="1">IF(AND(K2&lt;&gt;"",D2="Active"),TODAY()-K2,IF(AND(K2&lt;&gt;"",N2&lt;&gt;""),N2-K2,""))</f>
        <v>103</v>
      </c>
      <c r="P12" s="72">
        <f ca="1">IF(AND(D2="Active",OR(L2&lt;&gt;"",M2&lt;&gt;"")),MAX(0,TODAY()-IF(M2&lt;&gt;"",M2,L2)),"")</f>
        <v>76</v>
      </c>
      <c r="Q12" s="8" t="str">
        <f>IF(D2="Closed","✓ Resolved",IF(AND(E2="Critical",D2="Active"),"🔴 URGENT",IF(AND(E2="High",D2="Active"),"🟠 High Priority",IF(D2="Active","🟡 Active",""))))</f>
        <v>🟠 High Priority</v>
      </c>
    </row>
    <row r="13" spans="1:17">
      <c r="A13" s="7" t="s">
        <v>84</v>
      </c>
      <c r="B13" s="23"/>
      <c r="C13" s="4"/>
      <c r="D13" s="23"/>
      <c r="E13" s="23"/>
      <c r="F13" s="23"/>
      <c r="G13" s="23"/>
      <c r="I13" s="23"/>
      <c r="J13" s="23"/>
      <c r="K13" s="23"/>
      <c r="L13" s="23"/>
      <c r="M13" s="23"/>
      <c r="N13" s="23"/>
      <c r="O13" s="72">
        <f ca="1">IF(AND(K2&lt;&gt;"",D2="Active"),TODAY()-K2,IF(AND(K2&lt;&gt;"",N2&lt;&gt;""),N2-K2,""))</f>
        <v>103</v>
      </c>
      <c r="P13" s="72">
        <f ca="1">IF(AND(D2="Active",OR(L2&lt;&gt;"",M2&lt;&gt;"")),MAX(0,TODAY()-IF(M2&lt;&gt;"",M2,L2)),"")</f>
        <v>76</v>
      </c>
      <c r="Q13" s="8" t="str">
        <f>IF(D2="Closed","✓ Resolved",IF(AND(E2="Critical",D2="Active"),"🔴 URGENT",IF(AND(E2="High",D2="Active"),"🟠 High Priority",IF(D2="Active","🟡 Active",""))))</f>
        <v>🟠 High Priority</v>
      </c>
    </row>
    <row r="14" spans="1:17">
      <c r="A14" s="7" t="s">
        <v>85</v>
      </c>
      <c r="B14" s="23"/>
      <c r="C14" s="4"/>
      <c r="D14" s="23"/>
      <c r="E14" s="23"/>
      <c r="F14" s="23"/>
      <c r="G14" s="23"/>
      <c r="I14" s="23"/>
      <c r="J14" s="23"/>
      <c r="K14" s="23"/>
      <c r="L14" s="23"/>
      <c r="M14" s="23"/>
      <c r="N14" s="23"/>
      <c r="O14" s="72">
        <f ca="1">IF(AND(K2&lt;&gt;"",D2="Active"),TODAY()-K2,IF(AND(K2&lt;&gt;"",N2&lt;&gt;""),N2-K2,""))</f>
        <v>103</v>
      </c>
      <c r="P14" s="72">
        <f ca="1">IF(AND(D2="Active",OR(L2&lt;&gt;"",M2&lt;&gt;"")),MAX(0,TODAY()-IF(M2&lt;&gt;"",M2,L2)),"")</f>
        <v>76</v>
      </c>
      <c r="Q14" s="8" t="str">
        <f>IF(D2="Closed","✓ Resolved",IF(AND(E2="Critical",D2="Active"),"🔴 URGENT",IF(AND(E2="High",D2="Active"),"🟠 High Priority",IF(D2="Active","🟡 Active",""))))</f>
        <v>🟠 High Priority</v>
      </c>
    </row>
    <row r="15" spans="1:17">
      <c r="A15" s="7" t="s">
        <v>86</v>
      </c>
      <c r="B15" s="23"/>
      <c r="C15" s="4"/>
      <c r="D15" s="23"/>
      <c r="E15" s="23"/>
      <c r="F15" s="23"/>
      <c r="G15" s="23"/>
      <c r="I15" s="23"/>
      <c r="J15" s="23"/>
      <c r="K15" s="23"/>
      <c r="L15" s="23"/>
      <c r="M15" s="23"/>
      <c r="N15" s="23"/>
      <c r="O15" s="72">
        <f ca="1">IF(AND(K2&lt;&gt;"",D2="Active"),TODAY()-K2,IF(AND(K2&lt;&gt;"",N2&lt;&gt;""),N2-K2,""))</f>
        <v>103</v>
      </c>
      <c r="P15" s="72">
        <f ca="1">IF(AND(D2="Active",OR(L2&lt;&gt;"",M2&lt;&gt;"")),MAX(0,TODAY()-IF(M2&lt;&gt;"",M2,L2)),"")</f>
        <v>76</v>
      </c>
      <c r="Q15" s="8" t="str">
        <f>IF(D2="Closed","✓ Resolved",IF(AND(E2="Critical",D2="Active"),"🔴 URGENT",IF(AND(E2="High",D2="Active"),"🟠 High Priority",IF(D2="Active","🟡 Active",""))))</f>
        <v>🟠 High Priority</v>
      </c>
    </row>
    <row r="16" spans="1:17">
      <c r="A16" s="7" t="s">
        <v>87</v>
      </c>
      <c r="B16" s="4"/>
      <c r="C16" s="6"/>
      <c r="D16" s="10"/>
      <c r="E16" s="7"/>
      <c r="F16" s="7"/>
      <c r="G16" s="7"/>
      <c r="I16" s="7"/>
      <c r="J16" s="9"/>
      <c r="K16" s="12"/>
      <c r="L16" s="12"/>
      <c r="M16" s="12"/>
      <c r="N16" s="12"/>
      <c r="O16" s="72">
        <f ca="1">IF(AND(K2&lt;&gt;"",D2="Active"),TODAY()-K2,IF(AND(K2&lt;&gt;"",N2&lt;&gt;""),N2-K2,""))</f>
        <v>103</v>
      </c>
      <c r="P16" s="72">
        <f ca="1">IF(AND(D2="Active",OR(L2&lt;&gt;"",M2&lt;&gt;"")),MAX(0,TODAY()-IF(M2&lt;&gt;"",M2,L2)),"")</f>
        <v>76</v>
      </c>
      <c r="Q16" s="8" t="str">
        <f>IF(D2="Closed","✓ Resolved",IF(AND(E2="Critical",D2="Active"),"🔴 URGENT",IF(AND(E2="High",D2="Active"),"🟠 High Priority",IF(D2="Active","🟡 Active",""))))</f>
        <v>🟠 High Priority</v>
      </c>
    </row>
    <row r="17" spans="1:17">
      <c r="A17" s="7" t="s">
        <v>88</v>
      </c>
      <c r="B17" s="9"/>
      <c r="C17" s="10"/>
      <c r="D17" s="10"/>
      <c r="E17" s="7"/>
      <c r="F17" s="7"/>
      <c r="G17" s="7"/>
      <c r="I17" s="7"/>
      <c r="J17" s="9"/>
      <c r="K17" s="12"/>
      <c r="L17" s="12"/>
      <c r="M17" s="12"/>
      <c r="N17" s="12"/>
      <c r="O17" s="72">
        <f ca="1">IF(AND(K2&lt;&gt;"",D2="Active"),TODAY()-K2,IF(AND(K2&lt;&gt;"",N2&lt;&gt;""),N2-K2,""))</f>
        <v>103</v>
      </c>
      <c r="P17" s="72">
        <f ca="1">IF(AND(D2="Active",OR(L2&lt;&gt;"",M2&lt;&gt;"")),MAX(0,TODAY()-IF(M2&lt;&gt;"",M2,L2)),"")</f>
        <v>76</v>
      </c>
      <c r="Q17" s="8" t="str">
        <f>IF(D2="Closed","✓ Resolved",IF(AND(E2="Critical",D2="Active"),"🔴 URGENT",IF(AND(E2="High",D2="Active"),"🟠 High Priority",IF(D2="Active","🟡 Active",""))))</f>
        <v>🟠 High Priority</v>
      </c>
    </row>
    <row r="18" spans="1:17">
      <c r="A18" s="7" t="s">
        <v>89</v>
      </c>
      <c r="B18" s="9"/>
      <c r="C18" s="10"/>
      <c r="D18" s="10"/>
      <c r="E18" s="7"/>
      <c r="F18" s="7"/>
      <c r="G18" s="7"/>
      <c r="I18" s="7"/>
      <c r="J18" s="9"/>
      <c r="K18" s="12"/>
      <c r="L18" s="12"/>
      <c r="M18" s="12"/>
      <c r="N18" s="12"/>
      <c r="O18" s="72">
        <f ca="1">IF(AND(K2&lt;&gt;"",D2="Active"),TODAY()-K2,IF(AND(K2&lt;&gt;"",N2&lt;&gt;""),N2-K2,""))</f>
        <v>103</v>
      </c>
      <c r="P18" s="72">
        <f ca="1">IF(AND(D2="Active",OR(L2&lt;&gt;"",M2&lt;&gt;"")),MAX(0,TODAY()-IF(M2&lt;&gt;"",M2,L2)),"")</f>
        <v>76</v>
      </c>
      <c r="Q18" s="8" t="str">
        <f>IF(D2="Closed","✓ Resolved",IF(AND(E2="Critical",D2="Active"),"🔴 URGENT",IF(AND(E2="High",D2="Active"),"🟠 High Priority",IF(D2="Active","🟡 Active",""))))</f>
        <v>🟠 High Priority</v>
      </c>
    </row>
    <row r="19" spans="1:17">
      <c r="A19" s="7" t="s">
        <v>90</v>
      </c>
      <c r="B19" s="9"/>
      <c r="C19" s="6"/>
      <c r="D19" s="10"/>
      <c r="E19" s="7"/>
      <c r="F19" s="7"/>
      <c r="G19" s="7"/>
      <c r="I19" s="7"/>
      <c r="J19" s="9"/>
      <c r="K19" s="12"/>
      <c r="L19" s="12"/>
      <c r="M19" s="12"/>
      <c r="N19" s="12"/>
      <c r="O19" s="72">
        <f ca="1">IF(AND(K2&lt;&gt;"",D2="Active"),TODAY()-K2,IF(AND(K2&lt;&gt;"",N2&lt;&gt;""),N2-K2,""))</f>
        <v>103</v>
      </c>
      <c r="P19" s="72">
        <f ca="1">IF(AND(D2="Active",OR(L2&lt;&gt;"",M2&lt;&gt;"")),MAX(0,TODAY()-IF(M2&lt;&gt;"",M2,L2)),"")</f>
        <v>76</v>
      </c>
      <c r="Q19" s="8" t="str">
        <f>IF(D2="Closed","✓ Resolved",IF(AND(E2="Critical",D2="Active"),"🔴 URGENT",IF(AND(E2="High",D2="Active"),"🟠 High Priority",IF(D2="Active","🟡 Active",""))))</f>
        <v>🟠 High Priority</v>
      </c>
    </row>
    <row r="20" spans="1:17">
      <c r="A20" s="7" t="s">
        <v>91</v>
      </c>
      <c r="B20" s="4"/>
      <c r="C20" s="6"/>
      <c r="D20" s="10"/>
      <c r="E20" s="7"/>
      <c r="F20" s="7"/>
      <c r="G20" s="7"/>
      <c r="I20" s="7"/>
      <c r="J20" s="4"/>
      <c r="K20" s="24"/>
      <c r="L20" s="23"/>
      <c r="M20" s="23"/>
      <c r="N20" s="24"/>
      <c r="O20" s="72">
        <f ca="1">IF(AND(K2&lt;&gt;"",D2="Active"),TODAY()-K2,IF(AND(K2&lt;&gt;"",N2&lt;&gt;""),N2-K2,""))</f>
        <v>103</v>
      </c>
      <c r="P20" s="72">
        <f ca="1">IF(AND(D2="Active",OR(L2&lt;&gt;"",M2&lt;&gt;"")),MAX(0,TODAY()-IF(M2&lt;&gt;"",M2,L2)),"")</f>
        <v>76</v>
      </c>
      <c r="Q20" s="8" t="str">
        <f>IF(D2="Closed","✓ Resolved",IF(AND(E2="Critical",D2="Active"),"🔴 URGENT",IF(AND(E2="High",D2="Active"),"🟠 High Priority",IF(D2="Active","🟡 Active",""))))</f>
        <v>🟠 High Priority</v>
      </c>
    </row>
    <row r="21" spans="1:17">
      <c r="A21" s="7" t="s">
        <v>92</v>
      </c>
      <c r="B21" s="4"/>
      <c r="C21" s="7"/>
      <c r="D21" s="10"/>
      <c r="E21" s="7"/>
      <c r="F21" s="7"/>
      <c r="G21" s="7"/>
      <c r="I21" s="7"/>
      <c r="J21" s="20"/>
      <c r="K21" s="24"/>
      <c r="L21" s="7"/>
      <c r="M21" s="7"/>
      <c r="N21" s="24"/>
      <c r="O21" s="72">
        <f ca="1">IF(AND(K2&lt;&gt;"",D2="Active"),TODAY()-K2,IF(AND(K2&lt;&gt;"",N2&lt;&gt;""),N2-K2,""))</f>
        <v>103</v>
      </c>
      <c r="P21" s="72">
        <f ca="1">IF(AND(D2="Active",OR(L2&lt;&gt;"",M2&lt;&gt;"")),MAX(0,TODAY()-IF(M2&lt;&gt;"",M2,L2)),"")</f>
        <v>76</v>
      </c>
      <c r="Q21" s="8" t="str">
        <f>IF(D2="Closed","✓ Resolved",IF(AND(E2="Critical",D2="Active"),"🔴 URGENT",IF(AND(E2="High",D2="Active"),"🟠 High Priority",IF(D2="Active","🟡 Active",""))))</f>
        <v>🟠 High Priority</v>
      </c>
    </row>
    <row r="22" spans="1:17">
      <c r="A22" s="7" t="s">
        <v>93</v>
      </c>
      <c r="B22" s="23"/>
      <c r="C22" s="6"/>
      <c r="D22" s="10"/>
      <c r="E22" s="7"/>
      <c r="F22" s="7"/>
      <c r="G22" s="7"/>
      <c r="I22" s="7"/>
      <c r="J22" s="4"/>
      <c r="K22" s="25"/>
      <c r="L22" s="23"/>
      <c r="M22" s="23"/>
      <c r="N22" s="24"/>
      <c r="O22" s="72">
        <f ca="1">IF(AND(K2&lt;&gt;"",D2="Active"),TODAY()-K2,IF(AND(K2&lt;&gt;"",N2&lt;&gt;""),N2-K2,""))</f>
        <v>103</v>
      </c>
      <c r="P22" s="72">
        <f ca="1">IF(AND(D2="Active",OR(L2&lt;&gt;"",M2&lt;&gt;"")),MAX(0,TODAY()-IF(M2&lt;&gt;"",M2,L2)),"")</f>
        <v>76</v>
      </c>
      <c r="Q22" s="8" t="str">
        <f>IF(D2="Closed","✓ Resolved",IF(AND(E2="Critical",D2="Active"),"🔴 URGENT",IF(AND(E2="High",D2="Active"),"🟠 High Priority",IF(D2="Active","🟡 Active",""))))</f>
        <v>🟠 High Priority</v>
      </c>
    </row>
    <row r="23" spans="1:17">
      <c r="A23" s="7" t="s">
        <v>94</v>
      </c>
      <c r="B23" s="23"/>
      <c r="C23" s="6"/>
      <c r="D23" s="10"/>
      <c r="E23" s="7"/>
      <c r="F23" s="7"/>
      <c r="G23" s="7"/>
      <c r="I23" s="7"/>
      <c r="J23" s="4"/>
      <c r="K23" s="25"/>
      <c r="L23" s="23"/>
      <c r="M23" s="23"/>
      <c r="N23" s="25"/>
      <c r="O23" s="72">
        <f ca="1">IF(AND(K2&lt;&gt;"",D2="Active"),TODAY()-K2,IF(AND(K2&lt;&gt;"",N2&lt;&gt;""),N2-K2,""))</f>
        <v>103</v>
      </c>
      <c r="P23" s="72">
        <f ca="1">IF(AND(D2="Active",OR(L2&lt;&gt;"",M2&lt;&gt;"")),MAX(0,TODAY()-IF(M2&lt;&gt;"",M2,L2)),"")</f>
        <v>76</v>
      </c>
      <c r="Q23" s="8" t="str">
        <f>IF(D2="Closed","✓ Resolved",IF(AND(E2="Critical",D2="Active"),"🔴 URGENT",IF(AND(E2="High",D2="Active"),"🟠 High Priority",IF(D2="Active","🟡 Active",""))))</f>
        <v>🟠 High Priority</v>
      </c>
    </row>
    <row r="24" spans="1:17">
      <c r="A24" s="7" t="s">
        <v>95</v>
      </c>
      <c r="B24" s="4"/>
      <c r="C24" s="4"/>
      <c r="D24" s="10"/>
      <c r="E24" s="7"/>
      <c r="F24" s="7"/>
      <c r="G24" s="7"/>
      <c r="I24" s="7"/>
      <c r="J24" s="4"/>
      <c r="K24" s="25"/>
      <c r="L24" s="23"/>
      <c r="M24" s="23"/>
      <c r="N24" s="25"/>
      <c r="O24" s="72">
        <f ca="1">IF(AND(K2&lt;&gt;"",D2="Active"),TODAY()-K2,IF(AND(K2&lt;&gt;"",N2&lt;&gt;""),N2-K2,""))</f>
        <v>103</v>
      </c>
      <c r="P24" s="72">
        <f ca="1">IF(AND(D2="Active",OR(L2&lt;&gt;"",M2&lt;&gt;"")),MAX(0,TODAY()-IF(M2&lt;&gt;"",M2,L2)),"")</f>
        <v>76</v>
      </c>
      <c r="Q24" s="8" t="str">
        <f>IF(D2="Closed","✓ Resolved",IF(AND(E2="Critical",D2="Active"),"🔴 URGENT",IF(AND(E2="High",D2="Active"),"🟠 High Priority",IF(D2="Active","🟡 Active",""))))</f>
        <v>🟠 High Priority</v>
      </c>
    </row>
    <row r="25" spans="1:17">
      <c r="A25" s="7" t="s">
        <v>96</v>
      </c>
      <c r="B25" s="4"/>
      <c r="C25" s="4"/>
      <c r="D25" s="10"/>
      <c r="E25" s="7"/>
      <c r="F25" s="7"/>
      <c r="G25" s="7"/>
      <c r="I25" s="7"/>
      <c r="J25" s="4"/>
      <c r="K25" s="25"/>
      <c r="L25" s="23"/>
      <c r="M25" s="23"/>
      <c r="N25" s="25"/>
      <c r="O25" s="72">
        <f ca="1">IF(AND(K2&lt;&gt;"",D2="Active"),TODAY()-K2,IF(AND(K2&lt;&gt;"",N2&lt;&gt;""),N2-K2,""))</f>
        <v>103</v>
      </c>
      <c r="P25" s="72">
        <f ca="1">IF(AND(D2="Active",OR(L2&lt;&gt;"",M2&lt;&gt;"")),MAX(0,TODAY()-IF(M2&lt;&gt;"",M2,L2)),"")</f>
        <v>76</v>
      </c>
      <c r="Q25" s="8" t="str">
        <f>IF(D2="Closed","✓ Resolved",IF(AND(E2="Critical",D2="Active"),"🔴 URGENT",IF(AND(E2="High",D2="Active"),"🟠 High Priority",IF(D2="Active","🟡 Active",""))))</f>
        <v>🟠 High Priority</v>
      </c>
    </row>
    <row r="26" spans="1:17">
      <c r="A26" s="7" t="s">
        <v>97</v>
      </c>
      <c r="B26" s="23"/>
      <c r="C26" s="4"/>
      <c r="D26" s="10"/>
      <c r="E26" s="7"/>
      <c r="F26" s="7"/>
      <c r="G26" s="7"/>
      <c r="I26" s="7"/>
      <c r="J26" s="4"/>
      <c r="K26" s="25"/>
      <c r="L26" s="23"/>
      <c r="M26" s="23"/>
      <c r="N26" s="25"/>
      <c r="O26" s="72">
        <f ca="1">IF(AND(K2&lt;&gt;"",D2="Active"),TODAY()-K2,IF(AND(K2&lt;&gt;"",N2&lt;&gt;""),N2-K2,""))</f>
        <v>103</v>
      </c>
      <c r="P26" s="72">
        <f ca="1">IF(AND(D2="Active",OR(L2&lt;&gt;"",M2&lt;&gt;"")),MAX(0,TODAY()-IF(M2&lt;&gt;"",M2,L2)),"")</f>
        <v>76</v>
      </c>
      <c r="Q26" s="8" t="str">
        <f>IF(D2="Closed","✓ Resolved",IF(AND(E2="Critical",D2="Active"),"🔴 URGENT",IF(AND(E2="High",D2="Active"),"🟠 High Priority",IF(D2="Active","🟡 Active",""))))</f>
        <v>🟠 High Priority</v>
      </c>
    </row>
    <row r="27" spans="1:17">
      <c r="A27" s="7" t="s">
        <v>98</v>
      </c>
      <c r="B27" s="4"/>
      <c r="C27" s="4"/>
      <c r="D27" s="10"/>
      <c r="E27" s="7"/>
      <c r="F27" s="7"/>
      <c r="G27" s="7"/>
      <c r="I27" s="7"/>
      <c r="J27" s="4"/>
      <c r="K27" s="23"/>
      <c r="L27" s="23"/>
      <c r="M27" s="23"/>
      <c r="N27" s="23"/>
      <c r="O27" s="72">
        <f ca="1">IF(AND(K2&lt;&gt;"",D2="Active"),TODAY()-K2,IF(AND(K2&lt;&gt;"",N2&lt;&gt;""),N2-K2,""))</f>
        <v>103</v>
      </c>
      <c r="P27" s="72">
        <f ca="1">IF(AND(D2="Active",OR(L2&lt;&gt;"",M2&lt;&gt;"")),MAX(0,TODAY()-IF(M2&lt;&gt;"",M2,L2)),"")</f>
        <v>76</v>
      </c>
      <c r="Q27" s="8" t="str">
        <f>IF(D2="Closed","✓ Resolved",IF(AND(E2="Critical",D2="Active"),"🔴 URGENT",IF(AND(E2="High",D2="Active"),"🟠 High Priority",IF(D2="Active","🟡 Active",""))))</f>
        <v>🟠 High Priority</v>
      </c>
    </row>
    <row r="28" spans="1:17">
      <c r="A28" s="7" t="s">
        <v>99</v>
      </c>
      <c r="B28" s="4"/>
      <c r="C28" s="4"/>
      <c r="D28" s="10"/>
      <c r="E28" s="7"/>
      <c r="F28" s="7"/>
      <c r="G28" s="7"/>
      <c r="I28" s="7"/>
      <c r="J28" s="23"/>
      <c r="K28" s="23"/>
      <c r="L28" s="23"/>
      <c r="M28" s="23"/>
      <c r="N28" s="23"/>
      <c r="O28" s="72">
        <f ca="1">IF(AND(K2&lt;&gt;"",D2="Active"),TODAY()-K2,IF(AND(K2&lt;&gt;"",N2&lt;&gt;""),N2-K2,""))</f>
        <v>103</v>
      </c>
      <c r="P28" s="72">
        <f ca="1">IF(AND(D2="Active",OR(L2&lt;&gt;"",M2&lt;&gt;"")),MAX(0,TODAY()-IF(M2&lt;&gt;"",M2,L2)),"")</f>
        <v>76</v>
      </c>
      <c r="Q28" s="8" t="str">
        <f>IF(D2="Closed","✓ Resolved",IF(AND(E2="Critical",D2="Active"),"🔴 URGENT",IF(AND(E2="High",D2="Active"),"🟠 High Priority",IF(D2="Active","🟡 Active",""))))</f>
        <v>🟠 High Priority</v>
      </c>
    </row>
  </sheetData>
  <autoFilter ref="A1:N4" xr:uid="{00000000-0009-0000-0000-000003000000}"/>
  <phoneticPr fontId="27" type="noConversion"/>
  <conditionalFormatting sqref="D1:D12 D16:D1048576">
    <cfRule type="cellIs" dxfId="5" priority="29" operator="equal">
      <formula>"Closed"</formula>
    </cfRule>
    <cfRule type="cellIs" dxfId="4" priority="30" operator="equal">
      <formula>"Active"</formula>
    </cfRule>
  </conditionalFormatting>
  <conditionalFormatting sqref="D2:D28">
    <cfRule type="containsText" dxfId="3" priority="31" operator="containsText" text="Active">
      <formula>NOT(ISERROR(SEARCH("Active",D2)))</formula>
    </cfRule>
    <cfRule type="containsText" dxfId="2" priority="32" operator="containsText" text="Closed">
      <formula>NOT(ISERROR(SEARCH("Closed",D2)))</formula>
    </cfRule>
  </conditionalFormatting>
  <conditionalFormatting sqref="E2:E28">
    <cfRule type="containsText" dxfId="1" priority="33" operator="containsText" text="Critical">
      <formula>NOT(ISERROR(SEARCH("Critical",E2)))</formula>
    </cfRule>
    <cfRule type="containsText" dxfId="0" priority="34" operator="containsText" text="High">
      <formula>NOT(ISERROR(SEARCH("High",E2)))</formula>
    </cfRule>
  </conditionalFormatting>
  <dataValidations count="2">
    <dataValidation type="list" allowBlank="1" showInputMessage="1" showErrorMessage="1" sqref="D2:D28" xr:uid="{B7B618F8-54A4-46E4-B21A-0D52B9497A92}">
      <formula1>"Active,Closed"</formula1>
    </dataValidation>
    <dataValidation type="list" allowBlank="1" showInputMessage="1" showErrorMessage="1" sqref="E2:E28" xr:uid="{8002F1EE-8077-40DA-93A7-9163CBCCA60F}">
      <formula1>"Low,Medium,High,Critical"</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Reference!$F$2:$F$3</xm:f>
          </x14:formula1>
          <xm:sqref>D29:D1048576</xm:sqref>
        </x14:dataValidation>
        <x14:dataValidation type="list" allowBlank="1" showInputMessage="1" showErrorMessage="1" xr:uid="{00000000-0002-0000-0300-000001000000}">
          <x14:formula1>
            <xm:f>Reference!$G$2:$G$5</xm:f>
          </x14:formula1>
          <xm:sqref>E29:I1048576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
  <sheetViews>
    <sheetView workbookViewId="0">
      <selection activeCell="E2" sqref="E2:E4"/>
    </sheetView>
  </sheetViews>
  <sheetFormatPr defaultRowHeight="14.4"/>
  <cols>
    <col min="1" max="1" width="16.88671875" bestFit="1" customWidth="1"/>
    <col min="2" max="2" width="9.109375" bestFit="1" customWidth="1"/>
    <col min="3" max="3" width="11.5546875" bestFit="1" customWidth="1"/>
    <col min="4" max="4" width="11" bestFit="1" customWidth="1"/>
    <col min="5" max="5" width="15.109375" bestFit="1" customWidth="1"/>
    <col min="6" max="6" width="11.44140625" bestFit="1" customWidth="1"/>
    <col min="7" max="7" width="12" bestFit="1" customWidth="1"/>
    <col min="8" max="8" width="18.109375" bestFit="1" customWidth="1"/>
    <col min="9" max="9" width="13.5546875" bestFit="1" customWidth="1"/>
  </cols>
  <sheetData>
    <row r="1" spans="1:9">
      <c r="A1" s="1" t="s">
        <v>105</v>
      </c>
      <c r="B1" s="1" t="s">
        <v>106</v>
      </c>
      <c r="C1" s="1" t="s">
        <v>107</v>
      </c>
      <c r="D1" s="1" t="s">
        <v>108</v>
      </c>
      <c r="E1" s="1" t="s">
        <v>109</v>
      </c>
      <c r="F1" s="1" t="s">
        <v>110</v>
      </c>
      <c r="G1" s="1" t="s">
        <v>111</v>
      </c>
      <c r="H1" s="1" t="s">
        <v>112</v>
      </c>
      <c r="I1" s="1" t="s">
        <v>113</v>
      </c>
    </row>
    <row r="2" spans="1:9">
      <c r="A2" t="s">
        <v>21</v>
      </c>
      <c r="B2" t="s">
        <v>114</v>
      </c>
      <c r="C2" t="s">
        <v>115</v>
      </c>
      <c r="D2" t="s">
        <v>115</v>
      </c>
      <c r="E2" t="s">
        <v>116</v>
      </c>
      <c r="F2" t="s">
        <v>21</v>
      </c>
      <c r="G2" t="s">
        <v>115</v>
      </c>
      <c r="H2" t="s">
        <v>21</v>
      </c>
      <c r="I2" t="s">
        <v>21</v>
      </c>
    </row>
    <row r="3" spans="1:9">
      <c r="A3" t="s">
        <v>117</v>
      </c>
      <c r="B3" t="s">
        <v>118</v>
      </c>
      <c r="C3" t="s">
        <v>27</v>
      </c>
      <c r="D3" t="s">
        <v>27</v>
      </c>
      <c r="E3" t="s">
        <v>119</v>
      </c>
      <c r="F3" t="s">
        <v>120</v>
      </c>
      <c r="G3" t="s">
        <v>27</v>
      </c>
      <c r="H3" t="s">
        <v>121</v>
      </c>
      <c r="I3" t="s">
        <v>121</v>
      </c>
    </row>
    <row r="4" spans="1:9">
      <c r="A4" t="s">
        <v>122</v>
      </c>
      <c r="C4" t="s">
        <v>24</v>
      </c>
      <c r="D4" t="s">
        <v>24</v>
      </c>
      <c r="E4" t="s">
        <v>123</v>
      </c>
      <c r="G4" t="s">
        <v>24</v>
      </c>
      <c r="H4" t="s">
        <v>124</v>
      </c>
      <c r="I4" t="s">
        <v>125</v>
      </c>
    </row>
    <row r="5" spans="1:9">
      <c r="C5" t="s">
        <v>22</v>
      </c>
      <c r="D5" t="s">
        <v>22</v>
      </c>
      <c r="G5" t="s">
        <v>22</v>
      </c>
      <c r="H5" t="s">
        <v>120</v>
      </c>
      <c r="I5" t="s">
        <v>124</v>
      </c>
    </row>
    <row r="6" spans="1:9">
      <c r="I6" t="s">
        <v>126</v>
      </c>
    </row>
    <row r="7" spans="1:9">
      <c r="I7" t="s">
        <v>127</v>
      </c>
    </row>
  </sheetData>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1E8A2C7F4D73409E726A83D9035E32" ma:contentTypeVersion="20" ma:contentTypeDescription="Create a new document." ma:contentTypeScope="" ma:versionID="4dc0d797b480c96348fd580e02a3b9f5">
  <xsd:schema xmlns:xsd="http://www.w3.org/2001/XMLSchema" xmlns:xs="http://www.w3.org/2001/XMLSchema" xmlns:p="http://schemas.microsoft.com/office/2006/metadata/properties" xmlns:ns2="75c39eae-9c93-41b1-b8c9-ae8f1746711e" xmlns:ns3="0d596873-1791-4cfb-94b2-4eba9b024fb9" targetNamespace="http://schemas.microsoft.com/office/2006/metadata/properties" ma:root="true" ma:fieldsID="21048fedbccc4335d5466b3adbef5022" ns2:_="" ns3:_="">
    <xsd:import namespace="75c39eae-9c93-41b1-b8c9-ae8f1746711e"/>
    <xsd:import namespace="0d596873-1791-4cfb-94b2-4eba9b024fb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ShowOnlin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c39eae-9c93-41b1-b8c9-ae8f174671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ShowOnline" ma:index="18" nillable="true" ma:displayName="Show Online" ma:format="Dropdown" ma:internalName="ShowOnline">
      <xsd:simpleType>
        <xsd:restriction base="dms:Choice">
          <xsd:enumeration value="Yes"/>
          <xsd:enumeration value="No"/>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b3b2153-8899-49fd-bb67-1ae31c83c0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descrip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596873-1791-4cfb-94b2-4eba9b024fb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0eed8e5-7b46-49c6-9ec7-4835dddce3c2}" ma:internalName="TaxCatchAll" ma:showField="CatchAllData" ma:web="0d596873-1791-4cfb-94b2-4eba9b024f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owOnline xmlns="75c39eae-9c93-41b1-b8c9-ae8f1746711e" xsi:nil="true"/>
    <lcf76f155ced4ddcb4097134ff3c332f xmlns="75c39eae-9c93-41b1-b8c9-ae8f1746711e">
      <Terms xmlns="http://schemas.microsoft.com/office/infopath/2007/PartnerControls"/>
    </lcf76f155ced4ddcb4097134ff3c332f>
    <TaxCatchAll xmlns="0d596873-1791-4cfb-94b2-4eba9b024fb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3F7825-A4F6-41A4-ADE6-3A2B84F59F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c39eae-9c93-41b1-b8c9-ae8f1746711e"/>
    <ds:schemaRef ds:uri="0d596873-1791-4cfb-94b2-4eba9b024f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23A7AE-8BF2-498A-9AB8-7CD08F93DBFA}">
  <ds:schemaRefs>
    <ds:schemaRef ds:uri="http://www.w3.org/XML/1998/namespace"/>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75c39eae-9c93-41b1-b8c9-ae8f1746711e"/>
    <ds:schemaRef ds:uri="0d596873-1791-4cfb-94b2-4eba9b024fb9"/>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65252A70-19BE-49AF-9731-BAE3074D5878}">
  <ds:schemaRefs>
    <ds:schemaRef ds:uri="http://schemas.microsoft.com/sharepoint/v3/contenttype/forms"/>
  </ds:schemaRefs>
</ds:datastoreItem>
</file>

<file path=docMetadata/LabelInfo.xml><?xml version="1.0" encoding="utf-8"?>
<clbl:labelList xmlns:clbl="http://schemas.microsoft.com/office/2020/mipLabelMetadata">
  <clbl:label id="{2ab2b5d0-18af-4aa0-9010-cb69d0c7b92f}" enabled="0" method="" siteId="{2ab2b5d0-18af-4aa0-9010-cb69d0c7b9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Assumptions-Actions</vt:lpstr>
      <vt:lpstr>Dependencies</vt:lpstr>
      <vt:lpstr>Risks</vt:lpstr>
      <vt:lpstr>Issues</vt:lpstr>
      <vt:lpstr>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Abdallah Khalil</dc:creator>
  <cp:keywords/>
  <dc:description/>
  <cp:lastModifiedBy>Tawah Hussain Alsindi</cp:lastModifiedBy>
  <cp:revision/>
  <dcterms:created xsi:type="dcterms:W3CDTF">2016-06-13T11:09:33Z</dcterms:created>
  <dcterms:modified xsi:type="dcterms:W3CDTF">2026-04-25T12:10:18Z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0x010100F81E8A2C7F4D73409E726A83D9035E32</vt:lpwstr>
  </property>
  <property fmtid="{D5CDD505-2E9C-101B-9397-08002B2CF9AE}" pid="3" name="_dlc_DocId">
    <vt:lpwstr>3KVNDE3Y7JE4-1362-18</vt:lpwstr>
  </property>
  <property fmtid="{D5CDD505-2E9C-101B-9397-08002B2CF9AE}" pid="4" name="_dlc_DocIdUrl">
    <vt:lpwstr>http://intranet-mn/sites/Departments/PMOCC/SADADProjects/_layouts/15/DocIdRedir.aspx?ID=3KVNDE3Y7JE4-1362-18, 3KVNDE3Y7JE4-1362-18</vt:lpwstr>
  </property>
  <property fmtid="{D5CDD505-2E9C-101B-9397-08002B2CF9AE}" pid="5" name="_dlc_DocIdItemGuid">
    <vt:lpwstr>7a472c26-181e-4b00-8e52-d8259ee5d970</vt:lpwstr>
  </property>
  <property fmtid="{D5CDD505-2E9C-101B-9397-08002B2CF9AE}" pid="6" name="Order">
    <vt:r8>13600</vt:r8>
  </property>
  <property fmtid="{D5CDD505-2E9C-101B-9397-08002B2CF9AE}" pid="7" name="xd_Signature">
    <vt:bool>false</vt:bool>
  </property>
  <property fmtid="{D5CDD505-2E9C-101B-9397-08002B2CF9AE}" pid="8" name="xd_ProgID">
    <vt:lpwstr/>
  </property>
  <property fmtid="{D5CDD505-2E9C-101B-9397-08002B2CF9AE}" pid="9" name="_ExtendedDescription">
    <vt:lpwstr/>
  </property>
  <property fmtid="{D5CDD505-2E9C-101B-9397-08002B2CF9AE}" pid="10" name="TriggerFlowInfo">
    <vt:lpwstr/>
  </property>
  <property fmtid="{D5CDD505-2E9C-101B-9397-08002B2CF9AE}" pid="11" name="ComplianceAssetId">
    <vt:lpwstr/>
  </property>
  <property fmtid="{D5CDD505-2E9C-101B-9397-08002B2CF9AE}" pid="12" name="TemplateUrl">
    <vt:lpwstr/>
  </property>
  <property fmtid="{D5CDD505-2E9C-101B-9397-08002B2CF9AE}" pid="13" name="MediaServiceImageTags">
    <vt:lpwstr/>
  </property>
</Properties>
</file>